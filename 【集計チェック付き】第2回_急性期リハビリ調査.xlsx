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9310" yWindow="-40" windowWidth="19420" windowHeight="10300" tabRatio="600" firstSheet="0" activeTab="1" autoFilterDateGrouping="1"/>
  </bookViews>
  <sheets>
    <sheet xmlns:r="http://schemas.openxmlformats.org/officeDocument/2006/relationships" name="原本" sheetId="1" state="visible" r:id="rId1"/>
    <sheet xmlns:r="http://schemas.openxmlformats.org/officeDocument/2006/relationships" name="サマリ作成用" sheetId="2" state="visible" r:id="rId2"/>
    <sheet xmlns:r="http://schemas.openxmlformats.org/officeDocument/2006/relationships" name="項目候補" sheetId="3" state="visible" r:id="rId3"/>
    <sheet xmlns:r="http://schemas.openxmlformats.org/officeDocument/2006/relationships" name="グラフ作成用シート" sheetId="4" state="visible" r:id="rId4"/>
    <sheet xmlns:r="http://schemas.openxmlformats.org/officeDocument/2006/relationships" name="データチェック" sheetId="5" state="visible" r:id="rId5"/>
  </sheets>
  <definedNames>
    <definedName name="_xlchart.v1.0" hidden="1">グラフ作成用シート!$H$21</definedName>
    <definedName name="_xlchart.v1.1" hidden="1">グラフ作成用シート!$H$22:$H$310</definedName>
    <definedName name="_xlchart.v1.2" hidden="1">グラフ作成用シート!$H$21</definedName>
    <definedName name="_xlchart.v1.3" hidden="1">グラフ作成用シート!$H$22:$H$310</definedName>
    <definedName name="_xlchart.v1.4" hidden="1">グラフ作成用シート!$H$21</definedName>
    <definedName name="_xlchart.v1.5" hidden="1">グラフ作成用シート!$H$22:$H$310</definedName>
  </definedNames>
  <calcPr calcId="191029" fullCalcOnLoad="1"/>
</workbook>
</file>

<file path=xl/styles.xml><?xml version="1.0" encoding="utf-8"?>
<styleSheet xmlns="http://schemas.openxmlformats.org/spreadsheetml/2006/main">
  <numFmts count="3">
    <numFmt numFmtId="164" formatCode="m/d/yyyy\ h:mm:ss"/>
    <numFmt numFmtId="165" formatCode="0.0%"/>
    <numFmt numFmtId="166" formatCode="0.0&quot;%&quot;"/>
  </numFmts>
  <fonts count="22">
    <font>
      <name val="Arial"/>
      <color rgb="FF000000"/>
      <sz val="10"/>
      <scheme val="minor"/>
    </font>
    <font>
      <name val="Arial"/>
      <family val="2"/>
      <color theme="1"/>
      <sz val="10"/>
      <scheme val="minor"/>
    </font>
    <font>
      <name val="Arial"/>
      <charset val="128"/>
      <family val="3"/>
      <color rgb="FF000000"/>
      <sz val="10"/>
      <scheme val="minor"/>
    </font>
    <font>
      <name val="Arial"/>
      <charset val="128"/>
      <family val="3"/>
      <sz val="6"/>
      <scheme val="minor"/>
    </font>
    <font>
      <name val="Arial"/>
      <family val="2"/>
      <color theme="1"/>
      <sz val="10"/>
      <scheme val="minor"/>
    </font>
    <font>
      <name val="ＭＳ Ｐゴシック"/>
      <charset val="128"/>
      <family val="3"/>
      <color rgb="FF000000"/>
      <sz val="10"/>
    </font>
    <font>
      <name val="Arial"/>
      <family val="2"/>
      <color rgb="FF000000"/>
      <sz val="10"/>
      <scheme val="minor"/>
    </font>
    <font>
      <name val="Arial"/>
      <charset val="128"/>
      <family val="3"/>
      <color theme="1"/>
      <sz val="10"/>
      <scheme val="minor"/>
    </font>
    <font>
      <name val="ＭＳ ゴシック"/>
      <charset val="128"/>
      <family val="3"/>
      <color theme="1"/>
      <sz val="10"/>
    </font>
    <font>
      <name val="ＭＳ Ｐゴシック"/>
      <charset val="128"/>
      <family val="2"/>
      <color theme="1"/>
      <sz val="10"/>
    </font>
    <font>
      <name val="ＭＳ ゴシック"/>
      <charset val="128"/>
      <family val="3"/>
      <color rgb="FF000000"/>
      <sz val="10"/>
    </font>
    <font>
      <name val="Arial"/>
      <family val="2"/>
      <color theme="0"/>
      <sz val="10"/>
      <scheme val="minor"/>
    </font>
    <font>
      <name val="Arial"/>
      <charset val="128"/>
      <family val="3"/>
      <color theme="0"/>
      <sz val="10"/>
      <scheme val="minor"/>
    </font>
    <font>
      <name val="ＭＳ ゴシック"/>
      <charset val="128"/>
      <family val="3"/>
      <color theme="0"/>
      <sz val="10"/>
    </font>
    <font>
      <name val="游ゴシック"/>
      <b val="1"/>
      <color rgb="00262626"/>
      <sz val="14"/>
    </font>
    <font>
      <name val="游ゴシック"/>
      <b val="1"/>
      <color rgb="00397077"/>
      <sz val="12"/>
    </font>
    <font>
      <name val="游ゴシック"/>
      <i val="1"/>
      <color rgb="00666666"/>
      <sz val="10"/>
    </font>
    <font>
      <name val="游ゴシック"/>
      <b val="1"/>
      <color rgb="00FFFFFF"/>
      <sz val="12"/>
    </font>
    <font>
      <name val="游ゴシック"/>
      <b val="1"/>
      <color rgb="00FFFFFF"/>
      <sz val="10"/>
    </font>
    <font>
      <name val="游ゴシック"/>
      <b val="1"/>
      <color rgb="00FFFFFF"/>
      <sz val="11"/>
    </font>
    <font>
      <name val="游ゴシック"/>
      <sz val="10"/>
    </font>
    <font>
      <name val="游ゴシック"/>
      <b val="1"/>
      <sz val="10"/>
    </font>
  </fonts>
  <fills count="12">
    <fill>
      <patternFill/>
    </fill>
    <fill>
      <patternFill patternType="gray125"/>
    </fill>
    <fill>
      <patternFill patternType="solid">
        <fgColor rgb="FFFFFFFF"/>
        <bgColor rgb="FFFFFFFF"/>
      </patternFill>
    </fill>
    <fill>
      <patternFill patternType="solid">
        <fgColor rgb="FFF8F9FA"/>
        <bgColor rgb="FFF8F9FA"/>
      </patternFill>
    </fill>
    <fill>
      <patternFill patternType="solid">
        <fgColor rgb="FF5B3F86"/>
        <bgColor rgb="FF5B3F86"/>
      </patternFill>
    </fill>
    <fill>
      <patternFill patternType="solid">
        <fgColor theme="0"/>
        <bgColor rgb="FF5B3F86"/>
      </patternFill>
    </fill>
    <fill>
      <patternFill patternType="solid">
        <fgColor rgb="00D9E8EA"/>
      </patternFill>
    </fill>
    <fill>
      <patternFill patternType="solid">
        <fgColor rgb="00E86F2D"/>
      </patternFill>
    </fill>
    <fill>
      <patternFill patternType="solid">
        <fgColor rgb="005A9AA0"/>
      </patternFill>
    </fill>
    <fill>
      <patternFill patternType="solid">
        <fgColor rgb="00397077"/>
      </patternFill>
    </fill>
    <fill>
      <patternFill patternType="solid">
        <fgColor rgb="00A8C4C7"/>
      </patternFill>
    </fill>
    <fill>
      <patternFill patternType="solid">
        <fgColor rgb="00FFFFFF"/>
      </patternFill>
    </fill>
  </fills>
  <borders count="10">
    <border>
      <left/>
      <right/>
      <top/>
      <bottom/>
      <diagonal/>
    </border>
    <border>
      <left/>
      <right/>
      <top/>
      <bottom style="thin">
        <color rgb="FF5B3F86"/>
      </bottom>
      <diagonal/>
    </border>
    <border>
      <left style="thin">
        <color indexed="64"/>
      </left>
      <right style="thin">
        <color indexed="64"/>
      </right>
      <top style="thin">
        <color indexed="64"/>
      </top>
      <bottom style="thin">
        <color indexed="64"/>
      </bottom>
      <diagonal/>
    </border>
    <border>
      <left/>
      <right/>
      <top style="thin">
        <color rgb="FF5B3F86"/>
      </top>
      <bottom/>
      <diagonal/>
    </border>
    <border>
      <left/>
      <right style="thin">
        <color rgb="FF5B3F86"/>
      </right>
      <top style="thin">
        <color rgb="FF5B3F86"/>
      </top>
      <bottom/>
      <diagonal/>
    </border>
    <border>
      <left style="thin">
        <color indexed="64"/>
      </left>
      <right style="thin">
        <color indexed="64"/>
      </right>
      <top/>
      <bottom/>
      <diagonal/>
    </border>
    <border>
      <bottom style="medium">
        <color rgb="00FFFFFF"/>
      </bottom>
    </border>
    <border>
      <left style="thin">
        <color rgb="00CCCCCC"/>
      </left>
      <right style="thin">
        <color rgb="00CCCCCC"/>
      </right>
      <top style="thin">
        <color rgb="00CCCCCC"/>
      </top>
      <bottom style="thin">
        <color rgb="00CCCCCC"/>
      </bottom>
    </border>
    <border>
      <left style="thin">
        <color rgb="00FFFFFF"/>
      </left>
      <right style="thin">
        <color rgb="00FFFFFF"/>
      </right>
      <top style="thin">
        <color rgb="00FFFFFF"/>
      </top>
      <bottom style="thin">
        <color rgb="00FFFFFF"/>
      </bottom>
    </border>
    <border>
      <left style="medium">
        <color rgb="00397077"/>
      </left>
      <right style="medium">
        <color rgb="00397077"/>
      </right>
      <top style="medium">
        <color rgb="00397077"/>
      </top>
      <bottom style="medium">
        <color rgb="00397077"/>
      </bottom>
    </border>
  </borders>
  <cellStyleXfs count="2">
    <xf numFmtId="0" fontId="0" fillId="0" borderId="0"/>
    <xf numFmtId="9" fontId="6" fillId="0" borderId="0" applyAlignment="1">
      <alignment vertical="center"/>
    </xf>
  </cellStyleXfs>
  <cellXfs count="49">
    <xf numFmtId="0" fontId="0" fillId="0" borderId="0" pivotButton="0" quotePrefix="0" xfId="0"/>
    <xf numFmtId="0" fontId="1" fillId="0" borderId="0" applyAlignment="1" pivotButton="0" quotePrefix="0" xfId="0">
      <alignment horizontal="left" vertical="center"/>
    </xf>
    <xf numFmtId="164" fontId="1" fillId="0" borderId="0" applyAlignment="1" pivotButton="0" quotePrefix="0" xfId="0">
      <alignment vertical="center"/>
    </xf>
    <xf numFmtId="0" fontId="1" fillId="0" borderId="0" applyAlignment="1" pivotButton="0" quotePrefix="0" xfId="0">
      <alignment vertical="center"/>
    </xf>
    <xf numFmtId="0" fontId="1" fillId="3" borderId="1" applyAlignment="1" pivotButton="0" quotePrefix="0" xfId="0">
      <alignment vertical="center"/>
    </xf>
    <xf numFmtId="0" fontId="2" fillId="0" borderId="0" pivotButton="0" quotePrefix="0" xfId="0"/>
    <xf numFmtId="0" fontId="4" fillId="2" borderId="0" applyAlignment="1" pivotButton="0" quotePrefix="0" xfId="0">
      <alignment vertical="center"/>
    </xf>
    <xf numFmtId="0" fontId="4" fillId="3" borderId="0" applyAlignment="1" pivotButton="0" quotePrefix="0" xfId="0">
      <alignment vertical="center"/>
    </xf>
    <xf numFmtId="0" fontId="4" fillId="2" borderId="1" applyAlignment="1" pivotButton="0" quotePrefix="0" xfId="0">
      <alignment vertical="center"/>
    </xf>
    <xf numFmtId="0" fontId="1" fillId="3" borderId="0" applyAlignment="1" pivotButton="0" quotePrefix="0" xfId="0">
      <alignment vertical="center"/>
    </xf>
    <xf numFmtId="0" fontId="0" fillId="0" borderId="2" pivotButton="0" quotePrefix="0" xfId="0"/>
    <xf numFmtId="0" fontId="0" fillId="3" borderId="0" pivotButton="0" quotePrefix="0" xfId="0"/>
    <xf numFmtId="0" fontId="0" fillId="2" borderId="0" pivotButton="0" quotePrefix="0" xfId="0"/>
    <xf numFmtId="0" fontId="1" fillId="5" borderId="3" applyAlignment="1" pivotButton="0" quotePrefix="0" xfId="0">
      <alignment horizontal="left" vertical="center"/>
    </xf>
    <xf numFmtId="0" fontId="1" fillId="5" borderId="4" applyAlignment="1" pivotButton="0" quotePrefix="0" xfId="0">
      <alignment horizontal="left" vertical="center"/>
    </xf>
    <xf numFmtId="0" fontId="7" fillId="5" borderId="3" applyAlignment="1" pivotButton="0" quotePrefix="0" xfId="0">
      <alignment horizontal="left" vertical="center"/>
    </xf>
    <xf numFmtId="0" fontId="9" fillId="5" borderId="3" applyAlignment="1" pivotButton="0" quotePrefix="0" xfId="0">
      <alignment horizontal="left" vertical="center"/>
    </xf>
    <xf numFmtId="165" fontId="0" fillId="0" borderId="0" pivotButton="0" quotePrefix="0" xfId="1"/>
    <xf numFmtId="0" fontId="10" fillId="0" borderId="0" pivotButton="0" quotePrefix="0" xfId="0"/>
    <xf numFmtId="0" fontId="6" fillId="0" borderId="0" pivotButton="0" quotePrefix="0" xfId="0"/>
    <xf numFmtId="165" fontId="0" fillId="0" borderId="0" pivotButton="0" quotePrefix="0" xfId="0"/>
    <xf numFmtId="0" fontId="5" fillId="0" borderId="0" pivotButton="0" quotePrefix="0" xfId="0"/>
    <xf numFmtId="0" fontId="1" fillId="2" borderId="0" applyAlignment="1" pivotButton="0" quotePrefix="0" xfId="0">
      <alignment vertical="center"/>
    </xf>
    <xf numFmtId="0" fontId="1" fillId="2" borderId="0" applyAlignment="1" pivotButton="0" quotePrefix="0" xfId="0">
      <alignment vertical="center"/>
    </xf>
    <xf numFmtId="0" fontId="12" fillId="4" borderId="0" applyAlignment="1" pivotButton="0" quotePrefix="0" xfId="0">
      <alignment horizontal="left" vertical="center"/>
    </xf>
    <xf numFmtId="0" fontId="8" fillId="3" borderId="0" applyAlignment="1" pivotButton="0" quotePrefix="0" xfId="0">
      <alignment vertical="center"/>
    </xf>
    <xf numFmtId="0" fontId="10" fillId="0" borderId="2" pivotButton="0" quotePrefix="0" xfId="0"/>
    <xf numFmtId="0" fontId="5" fillId="0" borderId="2" pivotButton="0" quotePrefix="0" xfId="0"/>
    <xf numFmtId="0" fontId="6" fillId="0" borderId="2" pivotButton="0" quotePrefix="0" xfId="0"/>
    <xf numFmtId="0" fontId="6" fillId="0" borderId="0" pivotButton="0" quotePrefix="0" xfId="0"/>
    <xf numFmtId="0" fontId="1" fillId="4" borderId="0" applyAlignment="1" pivotButton="0" quotePrefix="0" xfId="0">
      <alignment horizontal="left" vertical="center"/>
    </xf>
    <xf numFmtId="0" fontId="6" fillId="0" borderId="5" pivotButton="0" quotePrefix="0" xfId="0"/>
    <xf numFmtId="164" fontId="1" fillId="0" borderId="0" applyAlignment="1" pivotButton="0" quotePrefix="0" xfId="0">
      <alignment vertical="center"/>
    </xf>
    <xf numFmtId="165" fontId="0" fillId="0" borderId="0" pivotButton="0" quotePrefix="0" xfId="1"/>
    <xf numFmtId="165" fontId="0" fillId="0" borderId="0" pivotButton="0" quotePrefix="0" xfId="0"/>
    <xf numFmtId="0" fontId="14" fillId="6" borderId="0" applyAlignment="1" pivotButton="0" quotePrefix="0" xfId="0">
      <alignment horizontal="center" vertical="center"/>
    </xf>
    <xf numFmtId="0" fontId="15" fillId="0" borderId="0" applyAlignment="1" pivotButton="0" quotePrefix="0" xfId="0">
      <alignment horizontal="center" vertical="center"/>
    </xf>
    <xf numFmtId="0" fontId="16" fillId="0" borderId="0" applyAlignment="1" pivotButton="0" quotePrefix="0" xfId="0">
      <alignment horizontal="left" vertical="center"/>
    </xf>
    <xf numFmtId="0" fontId="17" fillId="7" borderId="6" applyAlignment="1" pivotButton="0" quotePrefix="0" xfId="0">
      <alignment horizontal="left" vertical="center"/>
    </xf>
    <xf numFmtId="0" fontId="18" fillId="8" borderId="7" applyAlignment="1" pivotButton="0" quotePrefix="0" xfId="0">
      <alignment horizontal="center" vertical="center" wrapText="1"/>
    </xf>
    <xf numFmtId="0" fontId="19" fillId="9" borderId="8" applyAlignment="1" pivotButton="0" quotePrefix="0" xfId="0">
      <alignment horizontal="center" vertical="center" wrapText="1"/>
    </xf>
    <xf numFmtId="0" fontId="20" fillId="10" borderId="7" applyAlignment="1" pivotButton="0" quotePrefix="0" xfId="0">
      <alignment horizontal="center" vertical="center" wrapText="1"/>
    </xf>
    <xf numFmtId="0" fontId="20" fillId="10" borderId="7" applyAlignment="1" pivotButton="0" quotePrefix="0" xfId="0">
      <alignment horizontal="left" vertical="center" wrapText="1"/>
    </xf>
    <xf numFmtId="166" fontId="20" fillId="10" borderId="7" applyAlignment="1" pivotButton="0" quotePrefix="0" xfId="0">
      <alignment horizontal="center" vertical="center" wrapText="1"/>
    </xf>
    <xf numFmtId="0" fontId="20" fillId="11" borderId="7" applyAlignment="1" pivotButton="0" quotePrefix="0" xfId="0">
      <alignment horizontal="center" vertical="center" wrapText="1"/>
    </xf>
    <xf numFmtId="0" fontId="20" fillId="11" borderId="7" applyAlignment="1" pivotButton="0" quotePrefix="0" xfId="0">
      <alignment horizontal="left" vertical="center" wrapText="1"/>
    </xf>
    <xf numFmtId="166" fontId="20" fillId="11" borderId="7" applyAlignment="1" pivotButton="0" quotePrefix="0" xfId="0">
      <alignment horizontal="center" vertical="center" wrapText="1"/>
    </xf>
    <xf numFmtId="0" fontId="21" fillId="6" borderId="9" applyAlignment="1" pivotButton="0" quotePrefix="0" xfId="0">
      <alignment horizontal="center" vertical="center"/>
    </xf>
    <xf numFmtId="166" fontId="21" fillId="6" borderId="9" applyAlignment="1" pivotButton="0" quotePrefix="0" xfId="0">
      <alignment horizontal="center" vertical="center"/>
    </xf>
  </cellXfs>
  <cellStyles count="2">
    <cellStyle name="標準" xfId="0" builtinId="0"/>
    <cellStyle name="パーセント" xfId="1" builtinId="5"/>
  </cellStyles>
  <dxfs count="18">
    <dxf>
      <font>
        <name val="Arial"/>
        <family val="2"/>
        <strike val="0"/>
        <outline val="0"/>
        <shadow val="0"/>
        <condense val="0"/>
        <color theme="1"/>
        <extend val="0"/>
        <sz val="10"/>
        <vertAlign val="baseline"/>
        <scheme val="minor"/>
      </font>
      <fill>
        <patternFill patternType="solid">
          <fgColor rgb="FF5B3F86"/>
          <bgColor rgb="FF5B3F86"/>
        </patternFill>
      </fill>
      <alignment horizontal="left" vertical="center"/>
    </dxf>
    <dxf>
      <font>
        <name val="Arial"/>
        <family val="2"/>
        <strike val="0"/>
        <outline val="0"/>
        <shadow val="0"/>
        <condense val="0"/>
        <color theme="1"/>
        <extend val="0"/>
        <sz val="10"/>
        <vertAlign val="baseline"/>
        <scheme val="minor"/>
      </font>
      <fill>
        <patternFill patternType="solid">
          <fgColor rgb="FFFFFFFF"/>
          <bgColor rgb="FFFFFFFF"/>
        </patternFill>
      </fill>
      <alignment horizontal="general" vertical="center"/>
    </dxf>
    <dxf>
      <font>
        <name val="Arial"/>
        <family val="2"/>
        <strike val="0"/>
        <outline val="0"/>
        <shadow val="0"/>
        <condense val="0"/>
        <color theme="1"/>
        <extend val="0"/>
        <sz val="10"/>
        <vertAlign val="baseline"/>
        <scheme val="minor"/>
      </font>
      <fill>
        <patternFill patternType="solid">
          <fgColor rgb="FFFFFFFF"/>
          <bgColor rgb="FFFFFFFF"/>
        </patternFill>
      </fill>
      <alignment horizontal="general" vertical="center"/>
    </dxf>
    <dxf>
      <border outline="0">
        <top style="thin">
          <color rgb="FF5B3F86"/>
        </top>
        <bottom style="thin">
          <color rgb="FF5B3F86"/>
        </bottom>
      </border>
    </dxf>
    <dxf>
      <font>
        <name val="Arial"/>
        <family val="2"/>
        <strike val="0"/>
        <outline val="0"/>
        <shadow val="0"/>
        <condense val="0"/>
        <color theme="1"/>
        <extend val="0"/>
        <sz val="10"/>
        <vertAlign val="baseline"/>
        <scheme val="minor"/>
      </font>
      <fill>
        <patternFill patternType="solid">
          <fgColor rgb="FFFFFFFF"/>
          <bgColor rgb="FFFFFFFF"/>
        </patternFill>
      </fill>
      <alignment horizontal="general" vertical="center"/>
    </dxf>
    <dxf>
      <border outline="0">
        <top style="thin">
          <color rgb="FF5B3F86"/>
        </top>
        <bottom style="thin">
          <color rgb="FF5B3F86"/>
        </bottom>
      </border>
    </dxf>
    <dxf>
      <font>
        <name val="Arial"/>
        <family val="2"/>
        <strike val="0"/>
        <outline val="0"/>
        <shadow val="0"/>
        <condense val="0"/>
        <color theme="1"/>
        <extend val="0"/>
        <sz val="10"/>
        <vertAlign val="baseline"/>
        <scheme val="minor"/>
      </font>
      <fill>
        <patternFill patternType="solid">
          <fgColor rgb="FFFFFFFF"/>
          <bgColor rgb="FFFFFFFF"/>
        </patternFill>
      </fill>
      <alignment horizontal="general" vertical="center"/>
    </dxf>
    <dxf>
      <font>
        <name val="Arial"/>
        <family val="2"/>
        <strike val="0"/>
        <outline val="0"/>
        <shadow val="0"/>
        <condense val="0"/>
        <color theme="0"/>
        <extend val="0"/>
        <sz val="10"/>
        <vertAlign val="baseline"/>
        <scheme val="minor"/>
      </font>
      <fill>
        <patternFill patternType="solid">
          <fgColor rgb="FF5B3F86"/>
          <bgColor rgb="FF5B3F86"/>
        </patternFill>
      </fill>
      <alignment horizontal="left" vertical="cent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name val="Arial"/>
        <charset val="128"/>
        <family val="3"/>
        <strike val="0"/>
        <outline val="0"/>
        <shadow val="0"/>
        <condense val="0"/>
        <color rgb="FF000000"/>
        <extend val="0"/>
        <sz val="10"/>
        <vertAlign val="baseline"/>
        <scheme val="minor"/>
      </font>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00FFB3B3"/>
          <bgColor rgb="00FFB3B3"/>
        </patternFill>
      </fill>
    </dxf>
    <dxf>
      <fill>
        <patternFill patternType="solid">
          <fgColor rgb="00C6EFCE"/>
          <bgColor rgb="00C6EFCE"/>
        </patternFill>
      </fill>
    </dxf>
  </dxfs>
  <tableStyles count="1" defaultTableStyle="TableStyleMedium9" defaultPivotStyle="PivotStyleLight16">
    <tableStyle name="フォームの回答 1-style" pivot="0" count="4">
      <tableStyleElement type="wholeTable" size="0" dxfId="15"/>
      <tableStyleElement type="headerRow" dxfId="14"/>
      <tableStyleElement type="firstRowStripe" dxfId="13"/>
      <tableStyleElement type="secondRowStripe" dxfId="1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ja-JP" altLang="en-US"/>
              <a:t>症例数帯別 施設数分布</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ja-JP"/>
        </a:p>
      </txPr>
    </title>
    <plotArea>
      <layout/>
      <barChart>
        <barDir val="col"/>
        <grouping val="clustered"/>
        <varyColors val="0"/>
        <ser>
          <idx val="0"/>
          <order val="0"/>
          <tx>
            <v>施設数</v>
          </tx>
          <spPr>
            <a:solidFill xmlns:a="http://schemas.openxmlformats.org/drawingml/2006/main">
              <a:schemeClr val="accent1"/>
            </a:solidFill>
            <a:ln xmlns:a="http://schemas.openxmlformats.org/drawingml/2006/main">
              <a:noFill/>
              <a:prstDash val="solid"/>
            </a:ln>
          </spPr>
          <invertIfNegative val="0"/>
          <cat>
            <strRef>
              <f>グラフ作成用シート!$I$27:$I$39</f>
              <strCache>
                <ptCount val="13"/>
                <pt idx="0">
                  <v>~25</v>
                </pt>
                <pt idx="1">
                  <v>25~50</v>
                </pt>
                <pt idx="2">
                  <v>50~75</v>
                </pt>
                <pt idx="3">
                  <v>75~100</v>
                </pt>
                <pt idx="4">
                  <v>100~125</v>
                </pt>
                <pt idx="5">
                  <v>125~150</v>
                </pt>
                <pt idx="6">
                  <v>150~175</v>
                </pt>
                <pt idx="7">
                  <v>175~200</v>
                </pt>
                <pt idx="8">
                  <v>200~225</v>
                </pt>
                <pt idx="9">
                  <v>225~250</v>
                </pt>
                <pt idx="10">
                  <v>250~275</v>
                </pt>
                <pt idx="11">
                  <v>275~300</v>
                </pt>
                <pt idx="12">
                  <v>300以上</v>
                </pt>
              </strCache>
            </strRef>
          </cat>
          <val>
            <numRef>
              <f>グラフ作成用シート!$J$27:$J$39</f>
              <numCache>
                <formatCode>General</formatCode>
                <ptCount val="13"/>
                <pt idx="0">
                  <v>6</v>
                </pt>
                <pt idx="1">
                  <v>6</v>
                </pt>
                <pt idx="2">
                  <v>32</v>
                </pt>
                <pt idx="3">
                  <v>34</v>
                </pt>
                <pt idx="4">
                  <v>48</v>
                </pt>
                <pt idx="5">
                  <v>37</v>
                </pt>
                <pt idx="6">
                  <v>26</v>
                </pt>
                <pt idx="7">
                  <v>24</v>
                </pt>
                <pt idx="8">
                  <v>21</v>
                </pt>
                <pt idx="9">
                  <v>19</v>
                </pt>
                <pt idx="10">
                  <v>8</v>
                </pt>
                <pt idx="11">
                  <v>9</v>
                </pt>
                <pt idx="12">
                  <v>19</v>
                </pt>
              </numCache>
            </numRef>
          </val>
        </ser>
        <dLbls>
          <showLegendKey val="0"/>
          <showVal val="0"/>
          <showCatName val="0"/>
          <showSerName val="0"/>
          <showPercent val="0"/>
          <showBubbleSize val="0"/>
        </dLbls>
        <gapWidth val="219"/>
        <overlap val="-27"/>
        <axId val="788636704"/>
        <axId val="788638144"/>
      </barChart>
      <lineChart>
        <grouping val="standard"/>
        <varyColors val="0"/>
        <ser>
          <idx val="1"/>
          <order val="1"/>
          <tx>
            <v>累積%</v>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cat>
            <strRef>
              <f>グラフ作成用シート!$I$27:$I$39</f>
              <strCache>
                <ptCount val="13"/>
                <pt idx="0">
                  <v>~25</v>
                </pt>
                <pt idx="1">
                  <v>25~50</v>
                </pt>
                <pt idx="2">
                  <v>50~75</v>
                </pt>
                <pt idx="3">
                  <v>75~100</v>
                </pt>
                <pt idx="4">
                  <v>100~125</v>
                </pt>
                <pt idx="5">
                  <v>125~150</v>
                </pt>
                <pt idx="6">
                  <v>150~175</v>
                </pt>
                <pt idx="7">
                  <v>175~200</v>
                </pt>
                <pt idx="8">
                  <v>200~225</v>
                </pt>
                <pt idx="9">
                  <v>225~250</v>
                </pt>
                <pt idx="10">
                  <v>250~275</v>
                </pt>
                <pt idx="11">
                  <v>275~300</v>
                </pt>
                <pt idx="12">
                  <v>300以上</v>
                </pt>
              </strCache>
            </strRef>
          </cat>
          <val>
            <numRef>
              <f>グラフ作成用シート!$K$27:$K$39</f>
              <numCache>
                <formatCode>0.0%</formatCode>
                <ptCount val="13"/>
                <pt idx="0">
                  <v>0.02076124567474048</v>
                </pt>
                <pt idx="1">
                  <v>0.04152249134948097</v>
                </pt>
                <pt idx="2">
                  <v>0.1522491349480969</v>
                </pt>
                <pt idx="3">
                  <v>0.2698961937716263</v>
                </pt>
                <pt idx="4">
                  <v>0.4359861591695502</v>
                </pt>
                <pt idx="5">
                  <v>0.5640138408304498</v>
                </pt>
                <pt idx="6">
                  <v>0.6539792387543253</v>
                </pt>
                <pt idx="7">
                  <v>0.7370242214532872</v>
                </pt>
                <pt idx="8">
                  <v>0.8096885813148789</v>
                </pt>
                <pt idx="9">
                  <v>0.8754325259515571</v>
                </pt>
                <pt idx="10">
                  <v>0.903114186851211</v>
                </pt>
                <pt idx="11">
                  <v>0.9342560553633218</v>
                </pt>
                <pt idx="12">
                  <v>1</v>
                </pt>
              </numCache>
            </numRef>
          </val>
          <smooth val="0"/>
        </ser>
        <dLbls>
          <showLegendKey val="0"/>
          <showVal val="0"/>
          <showCatName val="0"/>
          <showSerName val="0"/>
          <showPercent val="0"/>
          <showBubbleSize val="0"/>
        </dLbls>
        <marker val="1"/>
        <smooth val="0"/>
        <axId val="1126591455"/>
        <axId val="784150191"/>
      </lineChart>
      <catAx>
        <axId val="788636704"/>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ja-JP"/>
          </a:p>
        </txPr>
        <crossAx val="788638144"/>
        <crosses val="autoZero"/>
        <auto val="1"/>
        <lblAlgn val="ctr"/>
        <lblOffset val="100"/>
        <noMultiLvlLbl val="0"/>
      </catAx>
      <valAx>
        <axId val="788638144"/>
        <scaling>
          <orientation val="minMax"/>
          <min val="0"/>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ja-JP"/>
          </a:p>
        </txPr>
        <crossAx val="788636704"/>
        <crosses val="autoZero"/>
        <crossBetween val="between"/>
      </valAx>
      <catAx>
        <axId val="1126591455"/>
        <scaling>
          <orientation val="minMax"/>
        </scaling>
        <delete val="1"/>
        <axPos val="b"/>
        <numFmt formatCode="General" sourceLinked="1"/>
        <majorTickMark val="out"/>
        <minorTickMark val="none"/>
        <tickLblPos val="nextTo"/>
        <crossAx val="784150191"/>
        <auto val="1"/>
        <lblAlgn val="ctr"/>
        <lblOffset val="100"/>
        <noMultiLvlLbl val="0"/>
      </catAx>
      <valAx>
        <axId val="784150191"/>
        <scaling>
          <orientation val="minMax"/>
          <max val="1"/>
          <min val="0"/>
        </scaling>
        <delete val="0"/>
        <axPos val="r"/>
        <numFmt formatCode="0%" sourceLinked="0"/>
        <majorTickMark val="out"/>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ja-JP"/>
          </a:p>
        </txPr>
        <crossAx val="1126591455"/>
        <crosses val="max"/>
        <crossBetween val="between"/>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from>
      <col>5</col>
      <colOff>590283</colOff>
      <row>39</row>
      <rowOff>133853</rowOff>
    </from>
    <to>
      <col>8</col>
      <colOff>757067</colOff>
      <row>67</row>
      <rowOff>88251</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Form_Responses" displayName="Form_Responses" ref="A1:AJ291" headerRowCount="1">
  <tableColumns count="36">
    <tableColumn id="1" name="タイムスタンプ"/>
    <tableColumn id="2" name="回答代表者ご氏名 "/>
    <tableColumn id="3" name="ご所属施設名 "/>
    <tableColumn id="4" name="ご施設の都道府県 "/>
    <tableColumn id="5" name="貴院の理学療法士・作業療法士の代表者メールアドレス"/>
    <tableColumn id="6" name="ご所属部署名・職種（任意） "/>
    <tableColumn id="7" name="Q1.  2025年1月～12月における大腿骨近位部骨折の症例数を教えてください。（※保存加療症例を含む）"/>
    <tableColumn id="8" name="Q2.  2025年1月～12月の期間において、大腿骨近位部骨折を担当した理学療法士（PT）の在籍人数を教えてください。"/>
    <tableColumn id="9" name="Q3.  2025年1月～12月の期間において、大腿骨近位部骨折を担当した作業療法士（OT）の在籍人数を教えてください。"/>
    <tableColumn id="10" name="Q4.  整形外科病棟における「リハビリテーション・栄養・口腔連携体制加算」の算定状況について、令和8年度診療報酬改定の発表前の時点でお答えください。【単一選択】"/>
    <tableColumn id="11" name="Q5.  手術前リハビリテーションで理学療法士または作業療法士が実施している内容を教えてください。【複数選択可】"/>
    <tableColumn id="12" name="Q6.  身体機能（疼痛、筋力低下など）が原因による制限_x000a_【4段階評価】"/>
    <tableColumn id="13" name="Q6-1.  「50％〜74％」「75％〜100％」を選択した方にお尋ねします。_x000a_→立位が可能になるために貴施設で取り組んでいる対応策を教えてください。【自由記述】"/>
    <tableColumn id="14" name="Q7.  精神・認知機能（認知機能低下、せん妄など）が原因による制限_x000a_【4段階評価】"/>
    <tableColumn id="15" name="Q7-1.  「50％〜74％」「75％〜100％」を選択した方にお尋ねします。_x000a_→立位が可能になるために貴施設で取り組んでいる対応策を教えてください。【自由記述】"/>
    <tableColumn id="16" name="Q8.  全身状態（呼吸・循環障害、貧血、電解質異常など）が原因による制限_x000a_【4段階評価】"/>
    <tableColumn id="17" name="Q8-1.  「50％〜74％」「75％〜100％」を選択した方にお尋ねします。_x000a_→立位が可能になるために貴施設で取り組んでいる対応策を教えてください。【自由記述】"/>
    <tableColumn id="18" name="Q9.  環境的要因（ベッド配置、病室環境、動線などが起因するもの）が原因による制限_x000a_【4段階評価】"/>
    <tableColumn id="19" name="Q9-1.  「50％〜74％」「75％〜100％」を選択した方にお尋ねします。_x000a_→立位が可能になるために貴施設で取り組んでいる対応策を教えてください。【自由記述】"/>
    <tableColumn id="20" name="Q10． サルコペニアの評価として理学療法士または作業療法士が実施している評価項目を教えてください。_x000a_【複数選択可】"/>
    <tableColumn id="21" name="Q10-1 ※「実施していない」を選択した方におたずねします。_x000a_→ 実施していない理由を教えてください。【自由記述】"/>
    <tableColumn id="22" name="Q11． フレイルの評価として理学療法士または作業療法士が実施している評価項目を教えてください。_x000a_【複数選択可】"/>
    <tableColumn id="23" name="Q11-1 ※「実施していない」を選択した方におたずねします。_x000a_→ 実施していない理由を教えてください。【自由記述】"/>
    <tableColumn id="24" name="Q12． ロコモティブシンドロームの評価として理学療法士または作業療法士が実施している評価項目を教えてください。_x000a_【複数選択可】"/>
    <tableColumn id="25" name="Q12-1 ※「実施していない」を選択した方におたずねします。_x000a_→ 実施していない理由を教えてください。【自由記述】"/>
    <tableColumn id="26" name="Q13． ADLの評価として理学療法士または作業療法士が実施している評価項目を教えてください。_x000a_【複数選択可】"/>
    <tableColumn id="27" name="Q13-1 ※「実施していない」を選択した方におたずねします。_x000a_→ 実施していない理由を教えてください。【自由記述】"/>
    <tableColumn id="28" name="Q14． 認知機能の評価として理学,作業療法士または言語聴覚士が実施している評価項目を教えてください。_x000a_【複数選択可】"/>
    <tableColumn id="29" name="Q14-1 ※「実施していない」を選択した方におたずねします。_x000a_→ 実施していない理由を教えてください。【自由記述】"/>
    <tableColumn id="30" name="Q15． 貴施設のFLS活動の一環として、理学療法士または作業療法士が実施することが施設内で定められている転倒リスク評価項目があれば教えてください。_x000a_【複数選択可】"/>
    <tableColumn id="31" name="Q15-1 ※「実施していない」を選択した方におたずねします。_x000a_→ 実施していない理由を教えてください。【自由記述】"/>
    <tableColumn id="32" name="Q15-2 ※「実施している」方におたずねします。_x000a_→   評価を実施する時期（術後何日目など）は貴施設のFLS活動として決められていますか。【単一選択】"/>
    <tableColumn id="33" name="Q15-2-1 ※「決まっている」を選択した方におたずねします。_x000a_術後何日目に実施することが決められているか教えてください。【自由記述】"/>
    <tableColumn id="34" name="Q15-2-2 ※「決まっていない」を選択した方におたずねします。_x000a_→ 決まっていない理由を教えてください。【自由記述】"/>
    <tableColumn id="35" name="Q16． 理学療法士または作業療法士が実施している転倒予防策について教えてください。_x000a_【複数選択可】"/>
    <tableColumn id="36" name="Q16-1 ※「実施していない」を選択した方におたずねします。_x000a_→ 実施していない理由を教えてください。【自由記述】"/>
  </tableColumns>
  <tableStyleInfo name="フォームの回答 1-style" showFirstColumn="1" showLastColumn="1" showRowStripes="1" showColumnStripes="0"/>
</table>
</file>

<file path=xl/tables/table2.xml><?xml version="1.0" encoding="utf-8"?>
<table xmlns="http://schemas.openxmlformats.org/spreadsheetml/2006/main" id="2" name="Form_Responses3" displayName="Form_Responses3" ref="A1:AJ290" headerRowCount="1">
  <tableColumns count="36">
    <tableColumn id="1" name="タイムスタンプ"/>
    <tableColumn id="2" name="回答代表者ご氏名 "/>
    <tableColumn id="3" name="ご所属施設名 "/>
    <tableColumn id="4" name="ご施設の都道府県 "/>
    <tableColumn id="5" name="貴院の理学療法士・作業療法士の代表者メールアドレス"/>
    <tableColumn id="6" name="ご所属部署名・職種（任意） "/>
    <tableColumn id="7" name="Q1.  2025年1月～12月における大腿骨近位部骨折の症例数を教えてください。（※保存加療症例を含む）"/>
    <tableColumn id="8" name="Q2.  2025年1月～12月の期間において、大腿骨近位部骨折を担当した理学療法士（PT）の在籍人数を教えてください。"/>
    <tableColumn id="9" name="Q3.  2025年1月～12月の期間において、大腿骨近位部骨折を担当した作業療法士（OT）の在籍人数を教えてください。"/>
    <tableColumn id="10" name="Q4.  整形外科病棟における「リハビリテーション・栄養・口腔連携体制加算」の算定状況について、令和8年度診療報酬改定の発表前の時点でお答えください。【単一選択】"/>
    <tableColumn id="11" name="Q5.  手術前リハビリテーションで理学療法士または作業療法士が実施している内容を教えてください。【複数選択可】"/>
    <tableColumn id="12" name="Q6.  身体機能（疼痛、筋力低下など）が原因による制限_x000a_【4段階評価】"/>
    <tableColumn id="13" name="Q6-1.  「50％〜74％」「75％〜100％」を選択した方にお尋ねします。_x000a_→立位が可能になるために貴施設で取り組んでいる対応策を教えてください。【自由記述】"/>
    <tableColumn id="14" name="Q7.  精神・認知機能（認知機能低下、せん妄など）が原因による制限_x000a_【4段階評価】"/>
    <tableColumn id="15" name="Q7-1.  「50％〜74％」「75％〜100％」を選択した方にお尋ねします。_x000a_→立位が可能になるために貴施設で取り組んでいる対応策を教えてください。【自由記述】"/>
    <tableColumn id="16" name="Q8.  全身状態（呼吸・循環障害、貧血、電解質異常など）が原因による制限_x000a_【4段階評価】"/>
    <tableColumn id="17" name="Q8-1.  「50％〜74％」「75％〜100％」を選択した方にお尋ねします。_x000a_→立位が可能になるために貴施設で取り組んでいる対応策を教えてください。【自由記述】"/>
    <tableColumn id="18" name="Q9.  環境的要因（ベッド配置、病室環境、動線などが起因するもの）が原因による制限_x000a_【4段階評価】"/>
    <tableColumn id="19" name="Q9-1.  「50％〜74％」「75％〜100％」を選択した方にお尋ねします。_x000a_→立位が可能になるために貴施設で取り組んでいる対応策を教えてください。【自由記述】"/>
    <tableColumn id="20" name="Q10． サルコペニアの評価として理学療法士または作業療法士が実施している評価項目を教えてください。_x000a_【複数選択可】"/>
    <tableColumn id="21" name="Q10-1 ※「実施していない」を選択した方におたずねします。_x000a_→ 実施していない理由を教えてください。【自由記述】"/>
    <tableColumn id="22" name="Q11． フレイルの評価として理学療法士または作業療法士が実施している評価項目を教えてください。_x000a_【複数選択可】"/>
    <tableColumn id="23" name="Q11-1 ※「実施していない」を選択した方におたずねします。_x000a_→ 実施していない理由を教えてください。【自由記述】"/>
    <tableColumn id="24" name="Q12． ロコモティブシンドロームの評価として理学療法士または作業療法士が実施している評価項目を教えてください。_x000a_【複数選択可】"/>
    <tableColumn id="25" name="Q12-1 ※「実施していない」を選択した方におたずねします。_x000a_→ 実施していない理由を教えてください。【自由記述】"/>
    <tableColumn id="26" name="Q13． ADLの評価として理学療法士または作業療法士が実施している評価項目を教えてください。_x000a_【複数選択可】"/>
    <tableColumn id="27" name="Q13-1 ※「実施していない」を選択した方におたずねします。_x000a_→ 実施していない理由を教えてください。【自由記述】"/>
    <tableColumn id="28" name="Q14． 認知機能の評価として理学,作業療法士または言語聴覚士が実施している評価項目を教えてください。_x000a_【複数選択可】"/>
    <tableColumn id="29" name="Q14-1 ※「実施していない」を選択した方におたずねします。_x000a_→ 実施していない理由を教えてください。【自由記述】"/>
    <tableColumn id="30" name="Q15． 貴施設のFLS活動の一環として、理学療法士または作業療法士が実施することが施設内で定められている転倒リスク評価項目があれば教えてください。_x000a_【複数選択可】"/>
    <tableColumn id="31" name="Q15-1 ※「実施していない」を選択した方におたずねします。_x000a_→ 実施していない理由を教えてください。【自由記述】"/>
    <tableColumn id="32" name="Q15-2 ※「実施している」方におたずねします。_x000a_→   評価を実施する時期（術後何日目など）は貴施設のFLS活動として決められていますか。【単一選択】"/>
    <tableColumn id="33" name="Q15-2-1 ※「決まっている」を選択した方におたずねします。_x000a_術後何日目に実施することが決められているか教えてください。【自由記述】"/>
    <tableColumn id="34" name="Q15-2-2 ※「決まっていない」を選択した方におたずねします。_x000a_→ 決まっていない理由を教えてください。【自由記述】"/>
    <tableColumn id="35" name="Q16． 理学療法士または作業療法士が実施している転倒予防策について教えてください。_x000a_【複数選択可】"/>
    <tableColumn id="36" name="Q16-1 ※「実施していない」を選択した方におたずねします。_x000a_→ 実施していない理由を教えてください。【自由記述】"/>
  </tableColumns>
  <tableStyleInfo name="フォームの回答 1-style" showFirstColumn="1" showLastColumn="1" showRowStripes="1" showColumnStripes="0"/>
</table>
</file>

<file path=xl/tables/table3.xml><?xml version="1.0" encoding="utf-8"?>
<table xmlns="http://schemas.openxmlformats.org/spreadsheetml/2006/main" id="3" name="テーブル3" displayName="テーブル3" ref="C2:D49" headerRowCount="1" totalsRowShown="0">
  <autoFilter ref="C2:D49"/>
  <tableColumns count="2">
    <tableColumn id="1" name="列1" dataDxfId="11"/>
    <tableColumn id="2" name="列2">
      <calculatedColumnFormula>COUNTIF(A:A,C3)</calculatedColumnFormula>
    </tableColumn>
  </tableColumns>
  <tableStyleInfo showFirstColumn="0" showLastColumn="0" showRowStripes="1" showColumnStripes="0"/>
</table>
</file>

<file path=xl/tables/table4.xml><?xml version="1.0" encoding="utf-8"?>
<table xmlns="http://schemas.openxmlformats.org/spreadsheetml/2006/main" id="4" name="テーブル5" displayName="テーブル5" ref="G16:G303" headerRowCount="1" totalsRowShown="0" headerRowDxfId="7" dataDxfId="6" tableBorderDxfId="5">
  <autoFilter ref="G16:G303"/>
  <sortState ref="G17:G303">
    <sortCondition ref="G16:G303"/>
  </sortState>
  <tableColumns count="1">
    <tableColumn id="1" name="ご所属部署名・職種（任意） " dataDxfId="4"/>
  </tableColumns>
  <tableStyleInfo showFirstColumn="0" showLastColumn="0" showRowStripes="1" showColumnStripes="0"/>
</table>
</file>

<file path=xl/tables/table5.xml><?xml version="1.0" encoding="utf-8"?>
<table xmlns="http://schemas.openxmlformats.org/spreadsheetml/2006/main" id="5" name="テーブル6" displayName="テーブル6" ref="H21:H310" headerRowCount="1" totalsRowShown="0" headerRowDxfId="0" dataDxfId="1" tableBorderDxfId="3">
  <autoFilter ref="H21:H310"/>
  <sortState ref="H22:H310">
    <sortCondition descending="1" ref="H21:H310"/>
  </sortState>
  <tableColumns count="1">
    <tableColumn id="1" name="Q1.  2025年1月～12月における大腿骨近位部骨折の症例数を教えてください。（※保存加療症例を含む）" dataDxfId="2"/>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3.xml" Id="rId2"/><Relationship Type="http://schemas.openxmlformats.org/officeDocument/2006/relationships/table" Target="/xl/tables/table4.xml" Id="rId3"/><Relationship Type="http://schemas.openxmlformats.org/officeDocument/2006/relationships/table" Target="/xl/tables/table5.xml" Id="rId4"/></Relationships>
</file>

<file path=xl/worksheets/sheet1.xml><?xml version="1.0" encoding="utf-8"?>
<worksheet xmlns="http://schemas.openxmlformats.org/spreadsheetml/2006/main">
  <sheetPr>
    <outlinePr summaryBelow="0" summaryRight="0"/>
    <pageSetUpPr/>
  </sheetPr>
  <dimension ref="A1:AJ291"/>
  <sheetViews>
    <sheetView topLeftCell="B1" workbookViewId="0">
      <pane ySplit="1" topLeftCell="A2" activePane="bottomLeft" state="frozen"/>
      <selection pane="bottomLeft" activeCell="F1" sqref="F1:F1048576"/>
    </sheetView>
  </sheetViews>
  <sheetFormatPr baseColWidth="8" defaultColWidth="12.6640625" defaultRowHeight="15.75" customHeight="1"/>
  <cols>
    <col width="18.88671875" customWidth="1" min="1" max="4"/>
    <col width="23.44140625" customWidth="1" min="5" max="5"/>
    <col width="18.88671875" customWidth="1" min="6" max="6"/>
    <col width="37.6640625" customWidth="1" min="7" max="11"/>
    <col width="25.21875" customWidth="1" min="12" max="12"/>
    <col width="35.6640625" customWidth="1" min="13" max="13"/>
    <col width="29.6640625" customWidth="1" min="14" max="14"/>
    <col width="35.6640625" customWidth="1" min="15" max="15"/>
    <col width="31.77734375" customWidth="1" min="16" max="16"/>
    <col width="35.6640625" customWidth="1" min="17" max="17"/>
    <col width="35.33203125" customWidth="1" min="18" max="18"/>
    <col width="35.6640625" customWidth="1" min="19" max="19"/>
    <col width="37.6640625" customWidth="1" min="20" max="20"/>
    <col width="28.33203125" customWidth="1" min="21" max="21"/>
    <col width="37.6640625" customWidth="1" min="22" max="22"/>
    <col width="28.33203125" customWidth="1" min="23" max="23"/>
    <col width="37.6640625" customWidth="1" min="24" max="24"/>
    <col width="28.33203125" customWidth="1" min="25" max="25"/>
    <col width="37.6640625" customWidth="1" min="26" max="26"/>
    <col width="28.33203125" customWidth="1" min="27" max="27"/>
    <col width="37.6640625" customWidth="1" min="28" max="28"/>
    <col width="28.33203125" customWidth="1" min="29" max="29"/>
    <col width="37.6640625" customWidth="1" min="30" max="30"/>
    <col width="28.33203125" customWidth="1" min="31" max="31"/>
    <col width="37.6640625" customWidth="1" min="32" max="32"/>
    <col width="30.6640625" customWidth="1" min="33" max="33"/>
    <col width="29.77734375" customWidth="1" min="34" max="34"/>
    <col width="36.109375" customWidth="1" min="35" max="35"/>
    <col width="28.33203125" customWidth="1" min="36" max="36"/>
    <col width="18.88671875" customWidth="1" min="37" max="42"/>
  </cols>
  <sheetData>
    <row r="1" ht="22.5" customHeight="1">
      <c r="A1" s="1" t="inlineStr">
        <is>
          <t>タイムスタンプ</t>
        </is>
      </c>
      <c r="B1" s="1" t="inlineStr">
        <is>
          <t xml:space="preserve">回答代表者ご氏名 </t>
        </is>
      </c>
      <c r="C1" s="1" t="inlineStr">
        <is>
          <t xml:space="preserve">ご所属施設名 </t>
        </is>
      </c>
      <c r="D1" s="1" t="inlineStr">
        <is>
          <t xml:space="preserve">ご施設の都道府県 </t>
        </is>
      </c>
      <c r="E1" s="1" t="inlineStr">
        <is>
          <t>貴院の理学療法士・作業療法士の代表者メールアドレス</t>
        </is>
      </c>
      <c r="F1" s="1" t="inlineStr">
        <is>
          <t xml:space="preserve">ご所属部署名・職種（任意） </t>
        </is>
      </c>
      <c r="G1" s="1" t="inlineStr">
        <is>
          <t>Q1.  2025年1月～12月における大腿骨近位部骨折の症例数を教えてください。（※保存加療症例を含む）</t>
        </is>
      </c>
      <c r="H1" s="1" t="inlineStr">
        <is>
          <t>Q2.  2025年1月～12月の期間において、大腿骨近位部骨折を担当した理学療法士（PT）の在籍人数を教えてください。</t>
        </is>
      </c>
      <c r="I1" s="1" t="inlineStr">
        <is>
          <t>Q3.  2025年1月～12月の期間において、大腿骨近位部骨折を担当した作業療法士（OT）の在籍人数を教えてください。</t>
        </is>
      </c>
      <c r="J1" s="1" t="inlineStr">
        <is>
          <t>Q4.  整形外科病棟における「リハビリテーション・栄養・口腔連携体制加算」の算定状況について、令和8年度診療報酬改定の発表前の時点でお答えください。【単一選択】</t>
        </is>
      </c>
      <c r="K1" s="1" t="inlineStr">
        <is>
          <t>Q5.  手術前リハビリテーションで理学療法士または作業療法士が実施している内容を教えてください。【複数選択可】</t>
        </is>
      </c>
      <c r="L1" s="1" t="inlineStr">
        <is>
          <t>Q6.  身体機能（疼痛、筋力低下など）が原因による制限
【4段階評価】</t>
        </is>
      </c>
      <c r="M1" s="1" t="inlineStr">
        <is>
          <t>Q6-1.  「50％〜74％」「75％〜100％」を選択した方にお尋ねします。
→立位が可能になるために貴施設で取り組んでいる対応策を教えてください。【自由記述】</t>
        </is>
      </c>
      <c r="N1" s="1" t="inlineStr">
        <is>
          <t>Q7.  精神・認知機能（認知機能低下、せん妄など）が原因による制限
【4段階評価】</t>
        </is>
      </c>
      <c r="O1" s="1" t="inlineStr">
        <is>
          <t>Q7-1.  「50％〜74％」「75％〜100％」を選択した方にお尋ねします。
→立位が可能になるために貴施設で取り組んでいる対応策を教えてください。【自由記述】</t>
        </is>
      </c>
      <c r="P1" s="1" t="inlineStr">
        <is>
          <t>Q8.  全身状態（呼吸・循環障害、貧血、電解質異常など）が原因による制限
【4段階評価】</t>
        </is>
      </c>
      <c r="Q1" s="1" t="inlineStr">
        <is>
          <t>Q8-1.  「50％〜74％」「75％〜100％」を選択した方にお尋ねします。
→立位が可能になるために貴施設で取り組んでいる対応策を教えてください。【自由記述】</t>
        </is>
      </c>
      <c r="R1" s="1" t="inlineStr">
        <is>
          <t>Q9.  環境的要因（ベッド配置、病室環境、動線などが起因するもの）が原因による制限
【4段階評価】</t>
        </is>
      </c>
      <c r="S1" s="1" t="inlineStr">
        <is>
          <t>Q9-1.  「50％〜74％」「75％〜100％」を選択した方にお尋ねします。
→立位が可能になるために貴施設で取り組んでいる対応策を教えてください。【自由記述】</t>
        </is>
      </c>
      <c r="T1" s="1" t="inlineStr">
        <is>
          <t>Q10． サルコペニアの評価として理学療法士または作業療法士が実施している評価項目を教えてください。
【複数選択可】</t>
        </is>
      </c>
      <c r="U1" s="1" t="inlineStr">
        <is>
          <t>Q10-1 ※「実施していない」を選択した方におたずねします。
→ 実施していない理由を教えてください。【自由記述】</t>
        </is>
      </c>
      <c r="V1" s="1" t="inlineStr">
        <is>
          <t>Q11． フレイルの評価として理学療法士または作業療法士が実施している評価項目を教えてください。
【複数選択可】</t>
        </is>
      </c>
      <c r="W1" s="1" t="inlineStr">
        <is>
          <t>Q11-1 ※「実施していない」を選択した方におたずねします。
→ 実施していない理由を教えてください。【自由記述】</t>
        </is>
      </c>
      <c r="X1" s="1" t="inlineStr">
        <is>
          <t>Q12． ロコモティブシンドロームの評価として理学療法士または作業療法士が実施している評価項目を教えてください。
【複数選択可】</t>
        </is>
      </c>
      <c r="Y1" s="1" t="inlineStr">
        <is>
          <t>Q12-1 ※「実施していない」を選択した方におたずねします。
→ 実施していない理由を教えてください。【自由記述】</t>
        </is>
      </c>
      <c r="Z1" s="1" t="inlineStr">
        <is>
          <t>Q13． ADLの評価として理学療法士または作業療法士が実施している評価項目を教えてください。
【複数選択可】</t>
        </is>
      </c>
      <c r="AA1" s="1" t="inlineStr">
        <is>
          <t>Q13-1 ※「実施していない」を選択した方におたずねします。
→ 実施していない理由を教えてください。【自由記述】</t>
        </is>
      </c>
      <c r="AB1" s="1" t="inlineStr">
        <is>
          <t>Q14． 認知機能の評価として理学,作業療法士または言語聴覚士が実施している評価項目を教えてください。
【複数選択可】</t>
        </is>
      </c>
      <c r="AC1" s="1" t="inlineStr">
        <is>
          <t>Q14-1 ※「実施していない」を選択した方におたずねします。
→ 実施していない理由を教えてください。【自由記述】</t>
        </is>
      </c>
      <c r="AD1" s="1" t="inlineStr">
        <is>
          <t>Q15． 貴施設のFLS活動の一環として、理学療法士または作業療法士が実施することが施設内で定められている転倒リスク評価項目があれば教えてください。
【複数選択可】</t>
        </is>
      </c>
      <c r="AE1" s="1" t="inlineStr">
        <is>
          <t>Q15-1 ※「実施していない」を選択した方におたずねします。
→ 実施していない理由を教えてください。【自由記述】</t>
        </is>
      </c>
      <c r="AF1" s="1" t="inlineStr">
        <is>
          <t>Q15-2 ※「実施している」方におたずねします。
→   評価を実施する時期（術後何日目など）は貴施設のFLS活動として決められていますか。【単一選択】</t>
        </is>
      </c>
      <c r="AG1" s="1" t="inlineStr">
        <is>
          <t>Q15-2-1 ※「決まっている」を選択した方におたずねします。
術後何日目に実施することが決められているか教えてください。【自由記述】</t>
        </is>
      </c>
      <c r="AH1" s="1" t="inlineStr">
        <is>
          <t>Q15-2-2 ※「決まっていない」を選択した方におたずねします。
→ 決まっていない理由を教えてください。【自由記述】</t>
        </is>
      </c>
      <c r="AI1" s="1" t="inlineStr">
        <is>
          <t>Q16． 理学療法士または作業療法士が実施している転倒予防策について教えてください。
【複数選択可】</t>
        </is>
      </c>
      <c r="AJ1" s="1" t="inlineStr">
        <is>
          <t>Q16-1 ※「実施していない」を選択した方におたずねします。
→ 実施していない理由を教えてください。【自由記述】</t>
        </is>
      </c>
    </row>
    <row r="2" ht="22.5" customHeight="1">
      <c r="A2" s="32" t="n">
        <v>46066.4234608912</v>
      </c>
      <c r="B2" s="3" t="inlineStr">
        <is>
          <t>高野義隆</t>
        </is>
      </c>
      <c r="C2" s="3" t="inlineStr">
        <is>
          <t>新潟リハビリテーション病院</t>
        </is>
      </c>
      <c r="D2" s="3" t="inlineStr">
        <is>
          <t>新潟県</t>
        </is>
      </c>
      <c r="E2" s="3" t="inlineStr">
        <is>
          <t>yoshitaka.takano@aiko.or.jp</t>
        </is>
      </c>
      <c r="F2" s="3" t="inlineStr">
        <is>
          <t>リハビリテーション部/理学療法士</t>
        </is>
      </c>
      <c r="G2" s="3" t="n">
        <v>160</v>
      </c>
      <c r="H2" s="3" t="n">
        <v>28</v>
      </c>
      <c r="I2" s="3" t="n">
        <v>18</v>
      </c>
      <c r="J2" s="3" t="inlineStr">
        <is>
          <t>届け出をしておらず、検討もしていない</t>
        </is>
      </c>
      <c r="K2" s="3" t="inlineStr">
        <is>
          <t>関節可動域運動, 筋力増強運動, ポジショニング</t>
        </is>
      </c>
      <c r="L2" s="3" t="inlineStr">
        <is>
          <t>全症例の25％〜49％程度</t>
        </is>
      </c>
      <c r="M2" s="3" t="n"/>
      <c r="N2" s="3" t="inlineStr">
        <is>
          <t>全症例の25％〜49％程度</t>
        </is>
      </c>
      <c r="O2" s="3" t="n"/>
      <c r="P2" s="3" t="inlineStr">
        <is>
          <t>全症例の25％〜49％程度</t>
        </is>
      </c>
      <c r="Q2" s="3" t="n"/>
      <c r="R2" s="3" t="inlineStr">
        <is>
          <t>全症例の0％〜24％程度</t>
        </is>
      </c>
      <c r="S2" s="3" t="n"/>
      <c r="T2" s="3" t="inlineStr">
        <is>
          <t>握力, 5回椅子立ち上がりテスト, 歩行速度, SPPB, TUG, 6分間歩行距離</t>
        </is>
      </c>
      <c r="U2" s="3" t="n"/>
      <c r="V2" s="3" t="inlineStr">
        <is>
          <t>TUG, 6分間歩行距離, 認知機能</t>
        </is>
      </c>
      <c r="W2" s="3" t="n"/>
      <c r="X2" s="3" t="inlineStr">
        <is>
          <t>実施していない</t>
        </is>
      </c>
      <c r="Y2" s="3" t="inlineStr">
        <is>
          <t>適応となる患者が少ない</t>
        </is>
      </c>
      <c r="Z2" s="3" t="inlineStr">
        <is>
          <t>FIM</t>
        </is>
      </c>
      <c r="AA2" s="3" t="n"/>
      <c r="AB2" s="3" t="inlineStr">
        <is>
          <t>MMSE, AMTS</t>
        </is>
      </c>
      <c r="AC2" s="3" t="n"/>
      <c r="AD2" s="3" t="inlineStr">
        <is>
          <t>TUG, SPPB、Functional Reach Test（FRT）, 5回椅子立ち上がりテスト, 認知機能, せん妄, 過去の転倒歴, 既往疾患の有無（脳血管疾患、パーキンソン病など）, 薬剤（向精神薬、降圧薬、利尿薬、ポリファーマシーなど）, ベッド周囲および病室環境</t>
        </is>
      </c>
      <c r="AE2" s="3" t="n"/>
      <c r="AF2" s="3" t="inlineStr">
        <is>
          <t>決まっている</t>
        </is>
      </c>
      <c r="AG2" s="3" t="inlineStr">
        <is>
          <t>１４日目</t>
        </is>
      </c>
      <c r="AH2" s="3" t="n"/>
      <c r="AI2" s="3" t="inlineStr">
        <is>
          <t>下肢筋力強化, バランス練習, 歩行練習, 起立、着座動作練習, 環境調整, 補助具、装具の適正化, 認知面への介入, 教育、指導</t>
        </is>
      </c>
      <c r="AJ2" s="3" t="n"/>
    </row>
    <row r="3" ht="22.5" customHeight="1">
      <c r="A3" s="32" t="n">
        <v>46068.89989141204</v>
      </c>
      <c r="B3" s="3" t="inlineStr">
        <is>
          <t>田中暢一</t>
        </is>
      </c>
      <c r="C3" s="3" t="inlineStr">
        <is>
          <t>ベルランド総合病院</t>
        </is>
      </c>
      <c r="D3" s="3" t="inlineStr">
        <is>
          <t>大阪府</t>
        </is>
      </c>
      <c r="E3" s="3" t="inlineStr">
        <is>
          <t>goddess.arisa.showmaking@gmail.com</t>
        </is>
      </c>
      <c r="F3" s="3" t="inlineStr">
        <is>
          <t>理学療法室/理学療法士</t>
        </is>
      </c>
      <c r="G3" s="3" t="n">
        <v>290</v>
      </c>
      <c r="H3" s="3" t="n">
        <v>18</v>
      </c>
      <c r="I3" s="3" t="n">
        <v>8</v>
      </c>
      <c r="J3" s="3" t="inlineStr">
        <is>
          <t>届け出をしておらず、検討もしていない</t>
        </is>
      </c>
      <c r="K3" s="3" t="inlineStr">
        <is>
          <t>関節可動域運動, 筋力増強運動, DVT予防, リラクセーション, ポジショニング, 自主運動指導, 術後リハビリテーションのオリエンテーション</t>
        </is>
      </c>
      <c r="L3" s="3" t="inlineStr">
        <is>
          <t>全症例の0％〜24％程度</t>
        </is>
      </c>
      <c r="N3" s="3" t="inlineStr">
        <is>
          <t>全症例の0％〜24％程度</t>
        </is>
      </c>
      <c r="P3" s="3" t="inlineStr">
        <is>
          <t>全症例の0％〜24％程度</t>
        </is>
      </c>
      <c r="R3" s="3" t="inlineStr">
        <is>
          <t>全症例の0％〜24％程度</t>
        </is>
      </c>
      <c r="T3" s="3" t="inlineStr">
        <is>
          <t>握力, 開眼片脚立位時間, 下腿周径</t>
        </is>
      </c>
      <c r="V3" s="3" t="inlineStr">
        <is>
          <t>握力</t>
        </is>
      </c>
      <c r="X3" s="3" t="inlineStr">
        <is>
          <t>ロコモ25（質問票）</t>
        </is>
      </c>
      <c r="Z3" s="3" t="inlineStr">
        <is>
          <t>Barthel Index（BI）, FIM</t>
        </is>
      </c>
      <c r="AB3" s="3" t="inlineStr">
        <is>
          <t>MMSE, HDS-R</t>
        </is>
      </c>
      <c r="AD3" s="3" t="inlineStr">
        <is>
          <t>開眼片脚立位時間, 認知機能, 過去の転倒歴, SIDE</t>
        </is>
      </c>
      <c r="AF3" s="3" t="inlineStr">
        <is>
          <t>決まっている</t>
        </is>
      </c>
      <c r="AG3" s="3" t="inlineStr">
        <is>
          <t>7日目</t>
        </is>
      </c>
      <c r="AI3" s="3" t="inlineStr">
        <is>
          <t>下肢筋力強化, バランス練習, 歩行練習, 起立、着座動作練習, 環境調整, 補助具、装具の適正化, 認知面への介入, 教育、指導</t>
        </is>
      </c>
    </row>
    <row r="4" ht="22.5" customHeight="1">
      <c r="A4" s="32" t="n">
        <v>46069.04015446759</v>
      </c>
      <c r="B4" s="3" t="inlineStr">
        <is>
          <t>丸貴仁</t>
        </is>
      </c>
      <c r="C4" s="3" t="inlineStr">
        <is>
          <t>所沢白翔会病院</t>
        </is>
      </c>
      <c r="D4" s="3" t="inlineStr">
        <is>
          <t>埼玉県</t>
        </is>
      </c>
      <c r="E4" s="3" t="inlineStr">
        <is>
          <t>t.maru@hakusyoukai.com</t>
        </is>
      </c>
      <c r="F4" s="3" t="inlineStr">
        <is>
          <t>リハビリテーション科、事務部／理学療法士</t>
        </is>
      </c>
      <c r="G4" s="3" t="n">
        <v>60</v>
      </c>
      <c r="H4" s="3" t="n">
        <v>13</v>
      </c>
      <c r="I4" s="3" t="n">
        <v>6</v>
      </c>
      <c r="J4" s="3" t="inlineStr">
        <is>
          <t>届け出はしていないが、現在検討中である</t>
        </is>
      </c>
      <c r="K4" s="3" t="inlineStr">
        <is>
          <t>関節可動域運動, 筋力増強運動, DVT予防, リラクセーション, ポジショニング, 自主運動指導, 術後リハビリテーションのオリエンテーション</t>
        </is>
      </c>
      <c r="L4" s="3" t="inlineStr">
        <is>
          <t>全症例の75％〜100％程度</t>
        </is>
      </c>
      <c r="M4" s="3" t="inlineStr">
        <is>
          <t>術前リハビリ（受傷前ADL確認含め）、医師等との情報交換</t>
        </is>
      </c>
      <c r="N4" s="3" t="inlineStr">
        <is>
          <t>全症例の0％〜24％程度</t>
        </is>
      </c>
      <c r="P4" s="3" t="inlineStr">
        <is>
          <t>全症例の0％〜24％程度</t>
        </is>
      </c>
      <c r="R4" s="3" t="inlineStr">
        <is>
          <t>全症例の0％〜24％程度</t>
        </is>
      </c>
      <c r="T4" s="3" t="inlineStr">
        <is>
          <t>握力, 5回椅子立ち上がりテスト, 歩行速度, TUG, 開眼片脚立位時間, 骨格筋量指数（SMI）</t>
        </is>
      </c>
      <c r="V4" s="3" t="inlineStr">
        <is>
          <t>Kihon Checklist（基本チェックリスト）, TUG, 認知機能, 抑うつや意欲低下</t>
        </is>
      </c>
      <c r="X4" s="3" t="inlineStr">
        <is>
          <t>立ち上がりテスト</t>
        </is>
      </c>
      <c r="Z4" s="3" t="inlineStr">
        <is>
          <t>Barthel Index（BI）, FIM</t>
        </is>
      </c>
      <c r="AB4" s="3" t="inlineStr">
        <is>
          <t>MMSE, AMTS</t>
        </is>
      </c>
      <c r="AD4" s="3" t="inlineStr">
        <is>
          <t>定量的な下肢筋力測定, 開眼片脚立位時間, TUG, 10m歩行速度, 深部感覚評価, 認知機能, 過去の転倒歴, 既往疾患の有無（脳血管疾患、パーキンソン病など）, 薬剤（向精神薬、降圧薬、利尿薬、ポリファーマシーなど）, ベッド周囲および病室環境</t>
        </is>
      </c>
      <c r="AF4" s="3" t="inlineStr">
        <is>
          <t>決まっている</t>
        </is>
      </c>
      <c r="AG4" s="3" t="inlineStr">
        <is>
          <t>可能となった日</t>
        </is>
      </c>
      <c r="AI4" s="3" t="inlineStr">
        <is>
          <t>下肢筋力強化, バランス練習, 歩行練習, 歩容改善, 起立、着座動作練習, 環境調整, 補助具、装具の適正化, 認知面への介入, 薬剤調整, 教育、指導</t>
        </is>
      </c>
    </row>
    <row r="5" ht="22.5" customHeight="1">
      <c r="A5" s="32" t="n">
        <v>46069.13621177083</v>
      </c>
      <c r="B5" s="3" t="inlineStr">
        <is>
          <t>吉井智晴</t>
        </is>
      </c>
      <c r="C5" s="3" t="inlineStr">
        <is>
          <t>東京医療病院</t>
        </is>
      </c>
      <c r="D5" s="3" t="inlineStr">
        <is>
          <t>東京都</t>
        </is>
      </c>
      <c r="E5" s="3" t="inlineStr">
        <is>
          <t>c-yoshii@u-ths.ac.jp</t>
        </is>
      </c>
      <c r="F5" s="3" t="inlineStr">
        <is>
          <t>リハビリテーション学科　理学療法士</t>
        </is>
      </c>
      <c r="G5" s="3" t="n">
        <v>100</v>
      </c>
      <c r="H5" s="3" t="n">
        <v>15</v>
      </c>
      <c r="I5" s="3" t="n">
        <v>6</v>
      </c>
      <c r="J5" s="3" t="inlineStr">
        <is>
          <t>現在、算定している</t>
        </is>
      </c>
      <c r="K5" s="3" t="inlineStr">
        <is>
          <t>筋力増強運動, 術後リハビリテーションのオリエンテーション</t>
        </is>
      </c>
      <c r="L5" s="3" t="inlineStr">
        <is>
          <t>全症例の25％〜49％程度</t>
        </is>
      </c>
      <c r="N5" s="3" t="inlineStr">
        <is>
          <t>全症例の50％〜74％程度</t>
        </is>
      </c>
      <c r="P5" s="3" t="inlineStr">
        <is>
          <t>全症例の25％〜49％程度</t>
        </is>
      </c>
      <c r="R5" s="3" t="inlineStr">
        <is>
          <t>全症例の25％〜49％程度</t>
        </is>
      </c>
      <c r="T5" s="3" t="inlineStr">
        <is>
          <t>握力, 膝伸展筋力</t>
        </is>
      </c>
      <c r="V5" s="3" t="inlineStr">
        <is>
          <t>J-CHS基準, Kihon Checklist（基本チェックリスト）</t>
        </is>
      </c>
      <c r="X5" s="3" t="inlineStr">
        <is>
          <t>ロコモ25（質問票）</t>
        </is>
      </c>
      <c r="Z5" s="3" t="inlineStr">
        <is>
          <t>Barthel Index（BI）</t>
        </is>
      </c>
      <c r="AB5" s="3" t="inlineStr">
        <is>
          <t>HDS-R</t>
        </is>
      </c>
      <c r="AD5" s="3" t="inlineStr">
        <is>
          <t>10m歩行速度</t>
        </is>
      </c>
      <c r="AF5" s="3" t="inlineStr">
        <is>
          <t>決まっている</t>
        </is>
      </c>
      <c r="AI5" s="3" t="inlineStr">
        <is>
          <t>下肢筋力強化, バランス練習</t>
        </is>
      </c>
    </row>
    <row r="6" ht="22.5" customHeight="1">
      <c r="A6" s="32" t="n">
        <v>46069.46085237269</v>
      </c>
      <c r="B6" s="3" t="inlineStr">
        <is>
          <t>渡邊啓太</t>
        </is>
      </c>
      <c r="C6" s="3" t="inlineStr">
        <is>
          <t>国家公務員共済組合連合会呉共済病院</t>
        </is>
      </c>
      <c r="D6" s="3" t="inlineStr">
        <is>
          <t>広島県</t>
        </is>
      </c>
      <c r="E6" s="3" t="inlineStr">
        <is>
          <t>tabe19891204@gmail.com</t>
        </is>
      </c>
      <c r="F6" s="3" t="inlineStr">
        <is>
          <t>リハビリテーション科／理学療法士</t>
        </is>
      </c>
      <c r="G6" s="3" t="n">
        <v>168</v>
      </c>
      <c r="H6" s="3" t="n">
        <v>6</v>
      </c>
      <c r="I6" s="3" t="n">
        <v>8</v>
      </c>
      <c r="J6" s="3" t="inlineStr">
        <is>
          <t>届け出をしておらず、検討もしていない</t>
        </is>
      </c>
      <c r="K6" s="3" t="inlineStr">
        <is>
          <t>関節可動域運動, 筋力増強運動, DVT予防, ポジショニング, 自主運動指導, 術後リハビリテーションのオリエンテーション</t>
        </is>
      </c>
      <c r="L6" s="3" t="inlineStr">
        <is>
          <t>全症例の25％〜49％程度</t>
        </is>
      </c>
      <c r="N6" s="3" t="inlineStr">
        <is>
          <t>全症例の25％〜49％程度</t>
        </is>
      </c>
      <c r="P6" s="3" t="inlineStr">
        <is>
          <t>全症例の25％〜49％程度</t>
        </is>
      </c>
      <c r="R6" s="3" t="inlineStr">
        <is>
          <t>全症例の25％〜49％程度</t>
        </is>
      </c>
      <c r="T6" s="3" t="inlineStr">
        <is>
          <t>握力, 膝伸展筋力, 歩行速度, 開眼片脚立位時間, 骨格筋量指数（SMI）</t>
        </is>
      </c>
      <c r="V6" s="3" t="inlineStr">
        <is>
          <t>認知機能, 握力</t>
        </is>
      </c>
      <c r="X6" s="3" t="inlineStr">
        <is>
          <t>実施していない</t>
        </is>
      </c>
      <c r="Z6" s="3" t="inlineStr">
        <is>
          <t>Barthel Index（BI）, FIM</t>
        </is>
      </c>
      <c r="AB6" s="3" t="inlineStr">
        <is>
          <t>HDS-R, AMTS</t>
        </is>
      </c>
      <c r="AD6" s="3" t="inlineStr">
        <is>
          <t>定量的な下肢筋力測定, 開眼片脚立位時間, 10m歩行速度, 認知機能, 過去の転倒歴</t>
        </is>
      </c>
      <c r="AF6" s="3" t="inlineStr">
        <is>
          <t>決まっている</t>
        </is>
      </c>
      <c r="AG6" s="3" t="inlineStr">
        <is>
          <t>14日目</t>
        </is>
      </c>
      <c r="AI6" s="3" t="inlineStr">
        <is>
          <t>下肢筋力強化, バランス練習, 歩行練習, 起立、着座動作練習, 環境調整, 補助具、装具の適正化, 認知面への介入, 教育、指導</t>
        </is>
      </c>
    </row>
    <row r="7" ht="22.5" customHeight="1">
      <c r="A7" s="32" t="n">
        <v>46083.63325314815</v>
      </c>
      <c r="B7" s="3" t="inlineStr">
        <is>
          <t>上原　光司</t>
        </is>
      </c>
      <c r="C7" s="3" t="inlineStr">
        <is>
          <t>社会医療法人愛仁会　高槻病院</t>
        </is>
      </c>
      <c r="D7" s="3" t="inlineStr">
        <is>
          <t>大阪府</t>
        </is>
      </c>
      <c r="E7" s="3" t="inlineStr">
        <is>
          <t>uehara.kouji@aijinkai-group.com</t>
        </is>
      </c>
      <c r="F7" s="3" t="inlineStr">
        <is>
          <t>リハビリテーション科　理学療法士</t>
        </is>
      </c>
      <c r="G7" s="3" t="n">
        <v>100</v>
      </c>
      <c r="H7" s="3" t="n">
        <v>25</v>
      </c>
      <c r="I7" s="3" t="n">
        <v>10</v>
      </c>
      <c r="J7" s="3" t="inlineStr">
        <is>
          <t>現在、算定している</t>
        </is>
      </c>
      <c r="K7" s="3" t="inlineStr">
        <is>
          <t>関節可動域運動, 筋力増強運動, 呼吸リハビリテーション, DVT予防, ポジショニング, 自主運動指導, 術後リハビリテーションのオリエンテーション</t>
        </is>
      </c>
      <c r="L7" s="3" t="inlineStr">
        <is>
          <t>全症例の25％〜49％程度</t>
        </is>
      </c>
      <c r="N7" s="3" t="inlineStr">
        <is>
          <t>全症例の0％〜24％程度</t>
        </is>
      </c>
      <c r="P7" s="3" t="inlineStr">
        <is>
          <t>全症例の0％〜24％程度</t>
        </is>
      </c>
      <c r="R7" s="3" t="inlineStr">
        <is>
          <t>全症例の0％〜24％程度</t>
        </is>
      </c>
      <c r="T7" s="3" t="inlineStr">
        <is>
          <t>膝伸展筋力, 歩行速度, 骨格筋量指数（SMI）</t>
        </is>
      </c>
      <c r="V7" s="3" t="inlineStr">
        <is>
          <t>実施していない</t>
        </is>
      </c>
      <c r="X7" s="3" t="inlineStr">
        <is>
          <t>実施していない</t>
        </is>
      </c>
      <c r="Z7" s="3" t="inlineStr">
        <is>
          <t>FIM</t>
        </is>
      </c>
      <c r="AB7" s="3" t="inlineStr">
        <is>
          <t>MMSE</t>
        </is>
      </c>
      <c r="AD7" s="3" t="inlineStr">
        <is>
          <t>定量的な下肢筋力測定</t>
        </is>
      </c>
      <c r="AF7" s="3" t="inlineStr">
        <is>
          <t>わからない</t>
        </is>
      </c>
      <c r="AI7" s="3" t="inlineStr">
        <is>
          <t>下肢筋力強化, バランス練習, 歩行練習</t>
        </is>
      </c>
    </row>
    <row r="8" ht="22.5" customHeight="1">
      <c r="A8" s="32" t="n">
        <v>46083.66343230324</v>
      </c>
      <c r="B8" s="3" t="inlineStr">
        <is>
          <t>芝原孝治</t>
        </is>
      </c>
      <c r="C8" s="3" t="inlineStr">
        <is>
          <t>済生会兵庫県病院</t>
        </is>
      </c>
      <c r="D8" s="3" t="inlineStr">
        <is>
          <t>兵庫県</t>
        </is>
      </c>
      <c r="E8" s="3" t="inlineStr">
        <is>
          <t>shiba20131946@gmail.com</t>
        </is>
      </c>
      <c r="F8" s="3" t="inlineStr">
        <is>
          <t>芝原孝治</t>
        </is>
      </c>
      <c r="G8" s="3" t="n">
        <v>146</v>
      </c>
      <c r="H8" s="3" t="n">
        <v>11</v>
      </c>
      <c r="I8" s="3" t="n">
        <v>1</v>
      </c>
      <c r="J8" s="3" t="inlineStr">
        <is>
          <t>届け出はしていないが、現在検討中である</t>
        </is>
      </c>
      <c r="K8" s="3" t="inlineStr">
        <is>
          <t>DVT予防, ポジショニング, 自主運動指導, 術後リハビリテーションのオリエンテーション, 認知機能評価</t>
        </is>
      </c>
      <c r="L8" s="3" t="inlineStr">
        <is>
          <t>全症例の75％〜100％程度</t>
        </is>
      </c>
      <c r="M8" s="3" t="inlineStr">
        <is>
          <t>基本的に術後翌日は疼痛が強いことが多くパスで端座位までとしており、認知機能低下やせん妄予防のため指示がある際に車椅子移乗まで実施している。</t>
        </is>
      </c>
      <c r="N8" s="3" t="inlineStr">
        <is>
          <t>全症例の0％〜24％程度</t>
        </is>
      </c>
      <c r="P8" s="3" t="inlineStr">
        <is>
          <t>全症例の0％〜24％程度</t>
        </is>
      </c>
      <c r="R8" s="3" t="inlineStr">
        <is>
          <t>全症例の0％〜24％程度</t>
        </is>
      </c>
      <c r="T8" s="3" t="inlineStr">
        <is>
          <t>5回椅子立ち上がりテスト, 歩行速度, SPPB, TUG, 6分間歩行距離, 下腿周径</t>
        </is>
      </c>
      <c r="V8" s="3" t="inlineStr">
        <is>
          <t>TUG, 6分間歩行距離, 認知機能</t>
        </is>
      </c>
      <c r="X8" s="3" t="inlineStr">
        <is>
          <t>実施していない</t>
        </is>
      </c>
      <c r="Y8" s="3" t="inlineStr">
        <is>
          <t>これまではロコモ外来がなく、リハビリを提供していなかったため</t>
        </is>
      </c>
      <c r="Z8" s="3" t="inlineStr">
        <is>
          <t>Barthel Index（BI）, FIM</t>
        </is>
      </c>
      <c r="AB8" s="3" t="inlineStr">
        <is>
          <t>MMSE, HDS-R, AMTS</t>
        </is>
      </c>
      <c r="AD8" s="3" t="inlineStr">
        <is>
          <t>定量的な下肢筋力測定, TUG, 10m歩行速度, SPPB、Functional Reach Test（FRT）, 認知機能, 過去の転倒歴, 既往疾患の有無（脳血管疾患、パーキンソン病など）, 薬剤（向精神薬、降圧薬、利尿薬、ポリファーマシーなど）, ベッド周囲および病室環境</t>
        </is>
      </c>
      <c r="AF8" s="3" t="inlineStr">
        <is>
          <t>決まっている</t>
        </is>
      </c>
      <c r="AG8" s="3" t="inlineStr">
        <is>
          <t>術前1日目にAMTS、転倒歴、既往歴など評価し、術後歩行が可能になった時期に応じて歩行速度など実施。</t>
        </is>
      </c>
      <c r="AI8" s="3" t="inlineStr">
        <is>
          <t>下肢筋力強化, バランス練習, 歩行練習, 歩容改善, 起立、着座動作練習, 環境調整, 補助具、装具の適正化, 認知面への介入, 行動面への介入, 薬剤調整, 教育、指導</t>
        </is>
      </c>
    </row>
    <row r="9" ht="22.5" customHeight="1">
      <c r="A9" s="32" t="n">
        <v>46083.66898871528</v>
      </c>
      <c r="B9" s="3" t="inlineStr">
        <is>
          <t>中野圭介</t>
        </is>
      </c>
      <c r="C9" s="3" t="inlineStr">
        <is>
          <t>藤沢市民病院</t>
        </is>
      </c>
      <c r="D9" s="3" t="inlineStr">
        <is>
          <t>神奈川県</t>
        </is>
      </c>
      <c r="E9" s="3" t="inlineStr">
        <is>
          <t>nakano.k0423@gmail.com</t>
        </is>
      </c>
      <c r="F9" s="3" t="inlineStr">
        <is>
          <t>理学療法士</t>
        </is>
      </c>
      <c r="G9" s="3" t="n">
        <v>20</v>
      </c>
      <c r="H9" s="3" t="n">
        <v>5</v>
      </c>
      <c r="I9" s="3" t="n">
        <v>0</v>
      </c>
      <c r="J9" s="3" t="inlineStr">
        <is>
          <t>届け出はしていないが、現在検討中である</t>
        </is>
      </c>
      <c r="K9" s="3" t="inlineStr">
        <is>
          <t>実施していない</t>
        </is>
      </c>
      <c r="L9" s="3" t="inlineStr">
        <is>
          <t>全症例の0％〜24％程度</t>
        </is>
      </c>
      <c r="N9" s="3" t="inlineStr">
        <is>
          <t>全症例の0％〜24％程度</t>
        </is>
      </c>
      <c r="P9" s="3" t="inlineStr">
        <is>
          <t>全症例の0％〜24％程度</t>
        </is>
      </c>
      <c r="R9" s="3" t="inlineStr">
        <is>
          <t>全症例の0％〜24％程度</t>
        </is>
      </c>
      <c r="T9" s="3" t="inlineStr">
        <is>
          <t>実施していない</t>
        </is>
      </c>
      <c r="U9" s="3" t="inlineStr">
        <is>
          <t>栄養面では栄養士がやっている</t>
        </is>
      </c>
      <c r="V9" s="3" t="inlineStr">
        <is>
          <t>実施していない</t>
        </is>
      </c>
      <c r="X9" s="3" t="inlineStr">
        <is>
          <t>実施していない</t>
        </is>
      </c>
      <c r="Y9" s="3" t="inlineStr">
        <is>
          <t>必要を感じていない</t>
        </is>
      </c>
      <c r="Z9" s="3" t="inlineStr">
        <is>
          <t>Barthel Index（BI）</t>
        </is>
      </c>
      <c r="AB9" s="3" t="inlineStr">
        <is>
          <t>MMSE, HDS-R</t>
        </is>
      </c>
      <c r="AD9" s="3" t="inlineStr">
        <is>
          <t>認知機能, 注意障害, せん妄</t>
        </is>
      </c>
      <c r="AF9" s="3" t="inlineStr">
        <is>
          <t>決まっていない</t>
        </is>
      </c>
      <c r="AH9" s="3" t="inlineStr">
        <is>
          <t>特に理由はない</t>
        </is>
      </c>
      <c r="AI9" s="3" t="inlineStr">
        <is>
          <t>下肢筋力強化, バランス練習, 歩行練習, 歩容改善, 起立、着座動作練習, 環境調整, 補助具、装具の適正化, 認知面への介入, 行動面への介入, 薬剤調整, 教育、指導</t>
        </is>
      </c>
    </row>
    <row r="10" ht="22.5" customHeight="1">
      <c r="A10" s="32" t="n">
        <v>46083.69629487269</v>
      </c>
      <c r="B10" s="3" t="inlineStr">
        <is>
          <t>寺井　真人</t>
        </is>
      </c>
      <c r="C10" s="3" t="inlineStr">
        <is>
          <t>社会医療法人蒼生会蒼生病院</t>
        </is>
      </c>
      <c r="D10" s="3" t="inlineStr">
        <is>
          <t>大阪府</t>
        </is>
      </c>
      <c r="E10" s="3" t="inlineStr">
        <is>
          <t>riha@sousei-hp.jp</t>
        </is>
      </c>
      <c r="F10" s="3" t="inlineStr">
        <is>
          <t>リハビリテーション科　作業療法士</t>
        </is>
      </c>
      <c r="G10" s="3" t="n">
        <v>125</v>
      </c>
      <c r="H10" s="3" t="n">
        <v>9</v>
      </c>
      <c r="I10" s="3" t="n">
        <v>2</v>
      </c>
      <c r="J10" s="3" t="inlineStr">
        <is>
          <t>届け出はしているが、算定していない</t>
        </is>
      </c>
      <c r="K10" s="3" t="inlineStr">
        <is>
          <t>関節可動域運動, 筋力増強運動, 術後リハビリテーションのオリエンテーション</t>
        </is>
      </c>
      <c r="L10" s="3" t="inlineStr">
        <is>
          <t>全症例の0％〜24％程度</t>
        </is>
      </c>
      <c r="N10" s="3" t="inlineStr">
        <is>
          <t>全症例の50％〜74％程度</t>
        </is>
      </c>
      <c r="O10" s="3" t="inlineStr">
        <is>
          <t>対策はできていないです。指示が入らず拒否が強いことが多いです。</t>
        </is>
      </c>
      <c r="P10" s="3" t="inlineStr">
        <is>
          <t>全症例の0％〜24％程度</t>
        </is>
      </c>
      <c r="R10" s="3" t="inlineStr">
        <is>
          <t>全症例の0％〜24％程度</t>
        </is>
      </c>
      <c r="T10" s="3" t="inlineStr">
        <is>
          <t>握力, 5回椅子立ち上がりテスト, TUG, 開眼片脚立位時間, MNA-SF</t>
        </is>
      </c>
      <c r="V10" s="3" t="inlineStr">
        <is>
          <t>認知機能, 握力</t>
        </is>
      </c>
      <c r="X10" s="3" t="inlineStr">
        <is>
          <t>実施していない</t>
        </is>
      </c>
      <c r="Y10" s="3" t="inlineStr">
        <is>
          <t>フレイルとサルコペニアで対応しています</t>
        </is>
      </c>
      <c r="Z10" s="3" t="inlineStr">
        <is>
          <t>Barthel Index（BI）</t>
        </is>
      </c>
      <c r="AB10" s="3" t="inlineStr">
        <is>
          <t>MMSE, AMTS</t>
        </is>
      </c>
      <c r="AD10" s="3" t="inlineStr">
        <is>
          <t>開眼片脚立位時間, TUG, 5回椅子立ち上がりテスト, 認知機能</t>
        </is>
      </c>
      <c r="AF10" s="3" t="inlineStr">
        <is>
          <t>決まっていない</t>
        </is>
      </c>
      <c r="AH10" s="3" t="inlineStr">
        <is>
          <t>各患者状態が違うため。退院1週前～で評価することが多いです</t>
        </is>
      </c>
      <c r="AI10" s="3" t="inlineStr">
        <is>
          <t>下肢筋力強化, バランス練習, 歩行練習, 歩容改善, 起立、着座動作練習, 環境調整, 補助具、装具の適正化, 認知面への介入, 教育、指導</t>
        </is>
      </c>
    </row>
    <row r="11" ht="22.5" customHeight="1">
      <c r="A11" s="32" t="n">
        <v>46083.70474636574</v>
      </c>
      <c r="B11" s="3" t="inlineStr">
        <is>
          <t>高橋智子</t>
        </is>
      </c>
      <c r="C11" s="3" t="inlineStr">
        <is>
          <t>国立長寿医療研究センター</t>
        </is>
      </c>
      <c r="D11" s="3" t="inlineStr">
        <is>
          <t>愛知県</t>
        </is>
      </c>
      <c r="E11" s="3" t="inlineStr">
        <is>
          <t>ttomoko@ncgg.go.jp</t>
        </is>
      </c>
      <c r="F11" s="3" t="inlineStr">
        <is>
          <t>リハビリテーション科部　理学療法士</t>
        </is>
      </c>
      <c r="G11" s="3" t="n">
        <v>75</v>
      </c>
      <c r="H11" s="3" t="n">
        <v>9</v>
      </c>
      <c r="I11" s="3" t="n">
        <v>3</v>
      </c>
      <c r="J11" s="3" t="inlineStr">
        <is>
          <t>現在、算定している</t>
        </is>
      </c>
      <c r="K11" s="3" t="inlineStr">
        <is>
          <t>関節可動域運動, リラクセーション, ポジショニング</t>
        </is>
      </c>
      <c r="L11" s="3" t="inlineStr">
        <is>
          <t>全症例の0％〜24％程度</t>
        </is>
      </c>
      <c r="N11" s="3" t="inlineStr">
        <is>
          <t>全症例の50％〜74％程度</t>
        </is>
      </c>
      <c r="P11" s="3" t="inlineStr">
        <is>
          <t>全症例の25％〜49％程度</t>
        </is>
      </c>
      <c r="R11" s="3" t="inlineStr">
        <is>
          <t>全症例の25％〜49％程度</t>
        </is>
      </c>
      <c r="S11" s="3" t="inlineStr">
        <is>
          <t>初回離床はセラピストが介入するようにし、その場で環境設定をおこないます</t>
        </is>
      </c>
      <c r="T11" s="3" t="inlineStr">
        <is>
          <t>握力, 膝伸展筋力, 歩行速度, SPPB, 骨格筋量指数（SMI）, 下腿周径</t>
        </is>
      </c>
      <c r="V11" s="3" t="inlineStr">
        <is>
          <t>TUG, 認知機能, 握力</t>
        </is>
      </c>
      <c r="X11" s="3" t="inlineStr">
        <is>
          <t>2ステップテスト</t>
        </is>
      </c>
      <c r="Z11" s="3" t="inlineStr">
        <is>
          <t>Barthel Index（BI）, FIM</t>
        </is>
      </c>
      <c r="AB11" s="3" t="inlineStr">
        <is>
          <t>MMSE</t>
        </is>
      </c>
      <c r="AD11" s="3" t="inlineStr">
        <is>
          <t>TUG, 10m歩行速度, SPPB、Functional Reach Test（FRT）, 認知機能, 注意障害, 過去の転倒歴, SIDE</t>
        </is>
      </c>
      <c r="AF11" s="3" t="inlineStr">
        <is>
          <t>決まっていない</t>
        </is>
      </c>
      <c r="AH11" s="3" t="inlineStr">
        <is>
          <t>疼痛により個人差があるため</t>
        </is>
      </c>
      <c r="AI11" s="3" t="inlineStr">
        <is>
          <t>下肢筋力強化, バランス練習, 歩行練習, 起立、着座動作練習, 環境調整, 補助具、装具の適正化</t>
        </is>
      </c>
    </row>
    <row r="12" ht="22.5" customHeight="1">
      <c r="A12" s="32" t="n">
        <v>46083.73773181713</v>
      </c>
      <c r="B12" s="3" t="inlineStr">
        <is>
          <t>下門　範子</t>
        </is>
      </c>
      <c r="C12" s="3" t="inlineStr">
        <is>
          <t>北九州総合病院</t>
        </is>
      </c>
      <c r="D12" s="3" t="inlineStr">
        <is>
          <t>福岡県</t>
        </is>
      </c>
      <c r="E12" s="3" t="inlineStr">
        <is>
          <t>n-shimokado@kitakyu-hp.or.jp</t>
        </is>
      </c>
      <c r="F12" s="3" t="inlineStr">
        <is>
          <t>リハビリテーション科/作業療法士</t>
        </is>
      </c>
      <c r="G12" s="3" t="n">
        <v>247</v>
      </c>
      <c r="H12" s="3" t="n">
        <v>8</v>
      </c>
      <c r="I12" s="3" t="n">
        <v>3</v>
      </c>
      <c r="J12" s="3" t="inlineStr">
        <is>
          <t>届け出はしていないが、現在検討中である</t>
        </is>
      </c>
      <c r="K12" s="3" t="inlineStr">
        <is>
          <t>DVT予防, ポジショニング, 自主運動指導, 術後リハビリテーションのオリエンテーション, 離床（例：車椅子移乗,立位,歩行など）, 認知症検査（HDS-R/AMTS）</t>
        </is>
      </c>
      <c r="L12" s="3" t="inlineStr">
        <is>
          <t>全症例の0％〜24％程度</t>
        </is>
      </c>
      <c r="N12" s="3" t="inlineStr">
        <is>
          <t>全症例の0％〜24％程度</t>
        </is>
      </c>
      <c r="P12" s="3" t="inlineStr">
        <is>
          <t>全症例の0％〜24％程度</t>
        </is>
      </c>
      <c r="R12" s="3" t="inlineStr">
        <is>
          <t>全症例の0％〜24％程度</t>
        </is>
      </c>
      <c r="T12" s="3" t="inlineStr">
        <is>
          <t>下腿周径</t>
        </is>
      </c>
      <c r="V12" s="3" t="inlineStr">
        <is>
          <t>認知機能</t>
        </is>
      </c>
      <c r="X12" s="3" t="inlineStr">
        <is>
          <t>立ち上がりテスト</t>
        </is>
      </c>
      <c r="Z12" s="3" t="inlineStr">
        <is>
          <t>Barthel Index（BI）, FIM</t>
        </is>
      </c>
      <c r="AB12" s="3" t="inlineStr">
        <is>
          <t>MMSE, HDS-R</t>
        </is>
      </c>
      <c r="AD12" s="3" t="inlineStr">
        <is>
          <t>認知機能, ベッド周囲および病室環境</t>
        </is>
      </c>
      <c r="AF12" s="3" t="inlineStr">
        <is>
          <t>決まっている</t>
        </is>
      </c>
      <c r="AG12" s="3" t="inlineStr">
        <is>
          <t>認知機能評価は術前とENT・転院前です。</t>
        </is>
      </c>
      <c r="AI12" s="3" t="inlineStr">
        <is>
          <t>下肢筋力強化, バランス練習, 歩行練習, 歩容改善, 起立、着座動作練習, 環境調整, 補助具、装具の適正化, 認知面への介入, 行動面への介入, 薬剤調整, 教育、指導</t>
        </is>
      </c>
    </row>
    <row r="13" ht="22.5" customHeight="1">
      <c r="A13" s="32" t="n">
        <v>46083.86508890046</v>
      </c>
      <c r="B13" s="3" t="inlineStr">
        <is>
          <t>池脇圭司</t>
        </is>
      </c>
      <c r="C13" s="3" t="inlineStr">
        <is>
          <t>徳島県立中央病院</t>
        </is>
      </c>
      <c r="D13" s="3" t="inlineStr">
        <is>
          <t>徳島県</t>
        </is>
      </c>
      <c r="E13" s="3" t="inlineStr">
        <is>
          <t>kptaf1117@yahoo.co.jp</t>
        </is>
      </c>
      <c r="F13" s="3" t="inlineStr">
        <is>
          <t>リハビリテーション技術科/理学療法士</t>
        </is>
      </c>
      <c r="G13" s="3" t="n">
        <v>202</v>
      </c>
      <c r="H13" s="3" t="n">
        <v>10</v>
      </c>
      <c r="I13" s="3" t="n">
        <v>6</v>
      </c>
      <c r="J13" s="3" t="inlineStr">
        <is>
          <t>届け出をしておらず、検討もしていない</t>
        </is>
      </c>
      <c r="K13" s="3" t="inlineStr">
        <is>
          <t>DVT予防, 自主運動指導, 術後リハビリテーションのオリエンテーション, 離床（例：車椅子移乗,立位,歩行など）</t>
        </is>
      </c>
      <c r="L13" s="3" t="inlineStr">
        <is>
          <t>全症例の75％〜100％程度</t>
        </is>
      </c>
      <c r="M13" s="3" t="inlineStr">
        <is>
          <t>術後は鎮痛剤を入れて、リハ前に頓服も検討</t>
        </is>
      </c>
      <c r="N13" s="3" t="inlineStr">
        <is>
          <t>全症例の25％〜49％程度</t>
        </is>
      </c>
      <c r="P13" s="3" t="inlineStr">
        <is>
          <t>全症例の50％〜74％程度</t>
        </is>
      </c>
      <c r="Q13" s="3" t="inlineStr">
        <is>
          <t>アセスメントし、午前か午後で可能か検討</t>
        </is>
      </c>
      <c r="R13" s="3" t="inlineStr">
        <is>
          <t>全症例の0％〜24％程度</t>
        </is>
      </c>
      <c r="T13" s="3" t="inlineStr">
        <is>
          <t>下腿周径, GNRI</t>
        </is>
      </c>
      <c r="V13" s="3" t="inlineStr">
        <is>
          <t>認知機能, GNRI, 握力</t>
        </is>
      </c>
      <c r="X13" s="3" t="inlineStr">
        <is>
          <t>実施していない</t>
        </is>
      </c>
      <c r="Y13" s="3" t="inlineStr">
        <is>
          <t>術後2週以内には転院になり、評価困難例が多いため</t>
        </is>
      </c>
      <c r="Z13" s="3" t="inlineStr">
        <is>
          <t>Barthel Index（BI）</t>
        </is>
      </c>
      <c r="AB13" s="3" t="inlineStr">
        <is>
          <t>HDS-R, AMTS</t>
        </is>
      </c>
      <c r="AD13" s="3" t="inlineStr">
        <is>
          <t>開眼片脚立位時間, 認知機能, せん妄, 過去の転倒歴, ベッド周囲および病室環境, SIDE</t>
        </is>
      </c>
      <c r="AF13" s="3" t="inlineStr">
        <is>
          <t>決まっている</t>
        </is>
      </c>
      <c r="AG13" s="3" t="inlineStr">
        <is>
          <t>術後７日目</t>
        </is>
      </c>
      <c r="AI13" s="3" t="inlineStr">
        <is>
          <t>下肢筋力強化, バランス練習, 歩行練習, 起立、着座動作練習, 環境調整, 教育、指導</t>
        </is>
      </c>
    </row>
    <row r="14" ht="22.5" customHeight="1">
      <c r="A14" s="32" t="n">
        <v>46084.40058643519</v>
      </c>
      <c r="B14" s="3" t="inlineStr">
        <is>
          <t>島岡　秀奉</t>
        </is>
      </c>
      <c r="C14" s="3" t="inlineStr">
        <is>
          <t>高知県立あき総合病院</t>
        </is>
      </c>
      <c r="D14" s="3" t="inlineStr">
        <is>
          <t>高知県</t>
        </is>
      </c>
      <c r="E14" s="3" t="inlineStr">
        <is>
          <t>satomi_nonaka@ken2.pref.kochi.lg.jp</t>
        </is>
      </c>
      <c r="G14" s="3" t="n">
        <v>96</v>
      </c>
      <c r="H14" s="3" t="n">
        <v>11</v>
      </c>
      <c r="I14" s="3" t="n">
        <v>5</v>
      </c>
      <c r="J14" s="3" t="inlineStr">
        <is>
          <t>届け出をしておらず、検討もしていない</t>
        </is>
      </c>
      <c r="K14" s="3" t="inlineStr">
        <is>
          <t>DVT予防, ポジショニング, 自主運動指導, 術後リハビリテーションのオリエンテーション</t>
        </is>
      </c>
      <c r="L14" s="3" t="inlineStr">
        <is>
          <t>全症例の50％〜74％程度</t>
        </is>
      </c>
      <c r="M14" s="3" t="inlineStr">
        <is>
          <t>特になし</t>
        </is>
      </c>
      <c r="N14" s="3" t="inlineStr">
        <is>
          <t>全症例の0％〜24％程度</t>
        </is>
      </c>
      <c r="P14" s="3" t="inlineStr">
        <is>
          <t>全症例の0％〜24％程度</t>
        </is>
      </c>
      <c r="R14" s="3" t="inlineStr">
        <is>
          <t>全症例の0％〜24％程度</t>
        </is>
      </c>
      <c r="T14" s="3" t="inlineStr">
        <is>
          <t>握力, 下腿周径</t>
        </is>
      </c>
      <c r="V14" s="3" t="inlineStr">
        <is>
          <t>認知機能, 握力</t>
        </is>
      </c>
      <c r="X14" s="3" t="inlineStr">
        <is>
          <t>実施していない</t>
        </is>
      </c>
      <c r="Y14" s="3" t="inlineStr">
        <is>
          <t>回復期のある病院へ転院されることが多く実施できない。</t>
        </is>
      </c>
      <c r="Z14" s="3" t="inlineStr">
        <is>
          <t>Barthel Index（BI）, FIM</t>
        </is>
      </c>
      <c r="AB14" s="3" t="inlineStr">
        <is>
          <t>AMTS</t>
        </is>
      </c>
      <c r="AD14" s="3" t="inlineStr">
        <is>
          <t>実施していない</t>
        </is>
      </c>
      <c r="AE14" s="3" t="inlineStr">
        <is>
          <t>リハビリ対象の患者が高齢のため大半の患者が転倒リスクが高い</t>
        </is>
      </c>
      <c r="AH14" s="3" t="inlineStr">
        <is>
          <t>Q15-1の回答と同様</t>
        </is>
      </c>
      <c r="AI14" s="3" t="inlineStr">
        <is>
          <t>下肢筋力強化, バランス練習, 歩行練習, 歩容改善, 起立、着座動作練習, 環境調整, 補助具、装具の適正化</t>
        </is>
      </c>
    </row>
    <row r="15" ht="22.5" customHeight="1">
      <c r="A15" s="32" t="n">
        <v>46084.411534375</v>
      </c>
      <c r="B15" s="3" t="inlineStr">
        <is>
          <t>澤下　浩二</t>
        </is>
      </c>
      <c r="C15" s="3" t="inlineStr">
        <is>
          <t>甲南医療センタ－</t>
        </is>
      </c>
      <c r="D15" s="3" t="inlineStr">
        <is>
          <t>兵庫県</t>
        </is>
      </c>
      <c r="E15" s="3" t="inlineStr">
        <is>
          <t>koji.sawashita@kohnan.or.jp</t>
        </is>
      </c>
      <c r="F15" s="3" t="inlineStr">
        <is>
          <t>リハビリテーション部/理学療法士</t>
        </is>
      </c>
      <c r="G15" s="3" t="n">
        <v>146</v>
      </c>
      <c r="H15" s="3" t="n">
        <v>6</v>
      </c>
      <c r="I15" s="3" t="n">
        <v>9</v>
      </c>
      <c r="J15" s="3" t="inlineStr">
        <is>
          <t>届け出はしていないが、現在検討中である</t>
        </is>
      </c>
      <c r="K15" s="3" t="inlineStr">
        <is>
          <t>関節可動域運動, 筋力増強運動, DVT予防, ポジショニング</t>
        </is>
      </c>
      <c r="L15" s="3" t="inlineStr">
        <is>
          <t>全症例の0％〜24％程度</t>
        </is>
      </c>
      <c r="N15" s="3" t="inlineStr">
        <is>
          <t>全症例の0％〜24％程度</t>
        </is>
      </c>
      <c r="P15" s="3" t="inlineStr">
        <is>
          <t>全症例の0％〜24％程度</t>
        </is>
      </c>
      <c r="R15" s="3" t="inlineStr">
        <is>
          <t>全症例の0％〜24％程度</t>
        </is>
      </c>
      <c r="T15" s="3" t="inlineStr">
        <is>
          <t>握力, 5回椅子立ち上がりテスト, SPPB, 下腿周径</t>
        </is>
      </c>
      <c r="V15" s="3" t="inlineStr">
        <is>
          <t>握力</t>
        </is>
      </c>
      <c r="X15" s="3" t="inlineStr">
        <is>
          <t>立ち上がりテスト</t>
        </is>
      </c>
      <c r="Z15" s="3" t="inlineStr">
        <is>
          <t>Barthel Index（BI）, FIM</t>
        </is>
      </c>
      <c r="AB15" s="3" t="inlineStr">
        <is>
          <t>MMSE</t>
        </is>
      </c>
      <c r="AD15" s="3" t="inlineStr">
        <is>
          <t>SPPB、Functional Reach Test（FRT）</t>
        </is>
      </c>
      <c r="AF15" s="3" t="inlineStr">
        <is>
          <t>決まっていない</t>
        </is>
      </c>
      <c r="AI15" s="3" t="inlineStr">
        <is>
          <t>下肢筋力強化, バランス練習, 歩行練習, 環境調整, 補助具、装具の適正化</t>
        </is>
      </c>
    </row>
    <row r="16" ht="22.5" customHeight="1">
      <c r="A16" s="32" t="n">
        <v>46084.41463881944</v>
      </c>
      <c r="B16" s="3" t="inlineStr">
        <is>
          <t>宮澤佑治</t>
        </is>
      </c>
      <c r="C16" s="3" t="inlineStr">
        <is>
          <t>浜松医療センター</t>
        </is>
      </c>
      <c r="D16" s="3" t="inlineStr">
        <is>
          <t>静岡県</t>
        </is>
      </c>
      <c r="E16" s="3" t="inlineStr">
        <is>
          <t>amakoa@yahoo.co.jp</t>
        </is>
      </c>
      <c r="F16" s="3" t="inlineStr">
        <is>
          <t>リハビリテーション技術科/理学療法士</t>
        </is>
      </c>
      <c r="G16" s="3" t="n">
        <v>350</v>
      </c>
      <c r="H16" s="3" t="n">
        <v>15</v>
      </c>
      <c r="I16" s="3" t="n">
        <v>7</v>
      </c>
      <c r="J16" s="3" t="inlineStr">
        <is>
          <t>届け出をしておらず、検討もしていない</t>
        </is>
      </c>
      <c r="K16" s="3" t="inlineStr">
        <is>
          <t>DVT予防, リラクセーション, 離床（例：車椅子移乗,立位,歩行など）</t>
        </is>
      </c>
      <c r="L16" s="3" t="inlineStr">
        <is>
          <t>全症例の75％〜100％程度</t>
        </is>
      </c>
      <c r="M16" s="3" t="inlineStr">
        <is>
          <t>医師による強力な促しがあります。暴れてうまくいかない人は人数かけて行う事もあります。術翌日は最低座位、車椅子乗車まで行うのが普通でそれができない人は免荷が必要な過体重な人か重度脳卒中併存、暴れるなどの人であることが多いのでそういう人をそこまでするか？は適宜判断して行います。</t>
        </is>
      </c>
      <c r="N16" s="3" t="inlineStr">
        <is>
          <t>全症例の0％〜24％程度</t>
        </is>
      </c>
      <c r="P16" s="3" t="inlineStr">
        <is>
          <t>全症例の0％〜24％程度</t>
        </is>
      </c>
      <c r="Q16" s="3" t="inlineStr">
        <is>
          <t>貧血が原因であれば輸血した後に起立する、短時間にする、起立よりも座位時間確保など</t>
        </is>
      </c>
      <c r="R16" s="3" t="inlineStr">
        <is>
          <t>全症例の0％〜24％程度</t>
        </is>
      </c>
      <c r="T16" s="3" t="inlineStr">
        <is>
          <t>握力, 歩行速度, 下腿周径</t>
        </is>
      </c>
      <c r="U16" s="3" t="inlineStr">
        <is>
          <t>人によります。高齢で明らかに弱々しい人は測定しますが元気な人は定型的に行わないこともあります。</t>
        </is>
      </c>
      <c r="V16" s="3" t="inlineStr">
        <is>
          <t>J-CHS基準, 認知機能, 握力</t>
        </is>
      </c>
      <c r="W16" s="3" t="inlineStr">
        <is>
          <t>頸部骨折にはフレイルが関連している可能性が高いから全例スクリーニングしましょうという高度なことはできていません。各担当者がありそうだな、と感じた場合上記評価を適宜行っています。</t>
        </is>
      </c>
      <c r="X16" s="3" t="inlineStr">
        <is>
          <t>実施していない</t>
        </is>
      </c>
      <c r="Y16" s="3" t="inlineStr">
        <is>
          <t>ロコモティブシンドロームとしては評価スクリーニングしてません。当院ではロコモはそれほど議論されていません。</t>
        </is>
      </c>
      <c r="Z16" s="3" t="inlineStr">
        <is>
          <t>Barthel Index（BI）</t>
        </is>
      </c>
      <c r="AB16" s="3" t="inlineStr">
        <is>
          <t>MMSE</t>
        </is>
      </c>
      <c r="AC16" s="3" t="inlineStr">
        <is>
          <t>大腿骨骨折はパス化されていますが近隣のリハビリテーション病院がmmseやらないととらないなどわがままをいうのでよほど元気で認知症扱いするなと怒る人以外はスクリーニングとしてとっています。</t>
        </is>
      </c>
      <c r="AD16" s="3" t="inlineStr">
        <is>
          <t>Berg Balance Scale（BBS）, SPPB、Functional Reach Test（FRT）, せん妄, 過去の転倒歴, 既往疾患の有無（脳血管疾患、パーキンソン病など）, 薬剤（向精神薬、降圧薬、利尿薬、ポリファーマシーなど）, ベッド周囲および病室環境</t>
        </is>
      </c>
      <c r="AF16" s="3" t="inlineStr">
        <is>
          <t>決まっていない</t>
        </is>
      </c>
      <c r="AH16" s="3" t="inlineStr">
        <is>
          <t>症例数が多すぎるので、院内転倒リスクが高いとnsかリハでおもったひとを抽出して井戸端会議したり転んでしまった人は事案発覚からすぐに集まってカンファします。これも病棟でまちまちなこともあります。</t>
        </is>
      </c>
      <c r="AI16" s="3" t="inlineStr">
        <is>
          <t>下肢筋力強化, バランス練習, 歩行練習, 歩容改善, 起立、着座動作練習, 環境調整, 補助具、装具の適正化, 教育、指導</t>
        </is>
      </c>
      <c r="AJ16" s="3" t="inlineStr">
        <is>
          <t>転倒予防策として定型的に行っているものはありません。担当者の裁量で行っていることが多く組織的にできていないのは課題と考えます。組織的に行っていないというのがこの設問の行っていないに該当するのであれば行っていません。</t>
        </is>
      </c>
    </row>
    <row r="17" ht="22.5" customHeight="1">
      <c r="A17" s="32" t="n">
        <v>46084.4435868287</v>
      </c>
      <c r="B17" s="3" t="inlineStr">
        <is>
          <t>水谷純子</t>
        </is>
      </c>
      <c r="C17" s="3" t="inlineStr">
        <is>
          <t>東京都済生会中央病院</t>
        </is>
      </c>
      <c r="D17" s="3" t="inlineStr">
        <is>
          <t>東京都</t>
        </is>
      </c>
      <c r="E17" s="3" t="inlineStr">
        <is>
          <t>rh-mizutani@saichu.jp</t>
        </is>
      </c>
      <c r="F17" s="3" t="inlineStr">
        <is>
          <t>リハビリテーション技術科／理学療法士</t>
        </is>
      </c>
      <c r="G17" s="3" t="n">
        <v>78</v>
      </c>
      <c r="H17" s="3" t="n">
        <v>9</v>
      </c>
      <c r="I17" s="3" t="n">
        <v>5</v>
      </c>
      <c r="J17" s="3" t="inlineStr">
        <is>
          <t>届け出をしておらず、検討もしていない</t>
        </is>
      </c>
      <c r="K17" s="3" t="inlineStr">
        <is>
          <t>実施していない</t>
        </is>
      </c>
      <c r="L17" s="3" t="inlineStr">
        <is>
          <t>全症例の0％〜24％程度</t>
        </is>
      </c>
      <c r="N17" s="3" t="inlineStr">
        <is>
          <t>全症例の0％〜24％程度</t>
        </is>
      </c>
      <c r="P17" s="3" t="inlineStr">
        <is>
          <t>全症例の0％〜24％程度</t>
        </is>
      </c>
      <c r="R17" s="3" t="inlineStr">
        <is>
          <t>全症例の0％〜24％程度</t>
        </is>
      </c>
      <c r="T17" s="3" t="inlineStr">
        <is>
          <t>実施していない</t>
        </is>
      </c>
      <c r="U17" s="3" t="inlineStr">
        <is>
          <t>3次救急で大腿骨近位部骨折の患者にフレイルの評価としては時期的に取っていない。機能評価としてはやっています。</t>
        </is>
      </c>
      <c r="V17" s="3" t="inlineStr">
        <is>
          <t>実施していない</t>
        </is>
      </c>
      <c r="W17" s="3" t="inlineStr">
        <is>
          <t>3次救急で大腿骨近位部骨折の患者にフレイルの評価としては時期的に取っていない。機能評価としてはやっています。</t>
        </is>
      </c>
      <c r="X17" s="3" t="inlineStr">
        <is>
          <t>実施していない</t>
        </is>
      </c>
      <c r="Y17" s="3" t="inlineStr">
        <is>
          <t>3次救急で大腿骨近位部骨折の患者であり、評価の時期まで入院していない。</t>
        </is>
      </c>
      <c r="Z17" s="3" t="inlineStr">
        <is>
          <t>Barthel Index（BI）</t>
        </is>
      </c>
      <c r="AB17" s="3" t="inlineStr">
        <is>
          <t>MMSE, HDS-R, MoCA, AMTS</t>
        </is>
      </c>
      <c r="AD17" s="3" t="inlineStr">
        <is>
          <t>TUG, 10m歩行速度, Berg Balance Scale（BBS）, SPPB、Functional Reach Test（FRT）, 深部感覚評価, 認知機能, せん妄, 過去の転倒歴, 既往疾患の有無（脳血管疾患、パーキンソン病など）</t>
        </is>
      </c>
      <c r="AF17" s="3" t="inlineStr">
        <is>
          <t>決まっている</t>
        </is>
      </c>
      <c r="AG17" s="3" t="inlineStr">
        <is>
          <t>TUGは7POD、AMTSは10POD、それ以外は患者に合わせてできる時期に評価</t>
        </is>
      </c>
      <c r="AI17" s="3" t="inlineStr">
        <is>
          <t>下肢筋力強化, バランス練習, 歩行練習, 歩容改善, 起立、着座動作練習, 環境調整, 補助具、装具の適正化, 認知面への介入, 薬剤調整, 教育、指導</t>
        </is>
      </c>
    </row>
    <row r="18" ht="22.5" customHeight="1">
      <c r="A18" s="32" t="n">
        <v>46084.47764444444</v>
      </c>
      <c r="B18" s="3" t="inlineStr">
        <is>
          <t>望月拓駿</t>
        </is>
      </c>
      <c r="C18" s="3" t="inlineStr">
        <is>
          <t>静岡県立総合病院</t>
        </is>
      </c>
      <c r="D18" s="3" t="inlineStr">
        <is>
          <t>静岡県</t>
        </is>
      </c>
      <c r="E18" s="3" t="inlineStr">
        <is>
          <t>omochitack14@gmail.com</t>
        </is>
      </c>
      <c r="F18" s="3" t="inlineStr">
        <is>
          <t>リハビリテーション科/理学療法士</t>
        </is>
      </c>
      <c r="G18" s="3" t="n">
        <v>140</v>
      </c>
      <c r="H18" s="3" t="n">
        <v>25</v>
      </c>
      <c r="I18" s="3" t="n">
        <v>0</v>
      </c>
      <c r="J18" s="3" t="inlineStr">
        <is>
          <t>届け出はしていないが、現在検討中である</t>
        </is>
      </c>
      <c r="K18" s="3" t="inlineStr">
        <is>
          <t>関節可動域運動, 筋力増強運動, DVT予防, 自主運動指導, 術後リハビリテーションのオリエンテーション</t>
        </is>
      </c>
      <c r="L18" s="3" t="inlineStr">
        <is>
          <t>全症例の25％〜49％程度</t>
        </is>
      </c>
      <c r="N18" s="3" t="inlineStr">
        <is>
          <t>全症例の25％〜49％程度</t>
        </is>
      </c>
      <c r="P18" s="3" t="inlineStr">
        <is>
          <t>全症例の0％〜24％程度</t>
        </is>
      </c>
      <c r="R18" s="3" t="inlineStr">
        <is>
          <t>全症例の0％〜24％程度</t>
        </is>
      </c>
      <c r="T18" s="3" t="inlineStr">
        <is>
          <t>握力, 歩行速度, SPPB</t>
        </is>
      </c>
      <c r="V18" s="3" t="inlineStr">
        <is>
          <t>認知機能, 握力</t>
        </is>
      </c>
      <c r="X18" s="3" t="inlineStr">
        <is>
          <t>実施していない</t>
        </is>
      </c>
      <c r="Y18" s="3" t="inlineStr">
        <is>
          <t>当院として計測を行っていない</t>
        </is>
      </c>
      <c r="Z18" s="3" t="inlineStr">
        <is>
          <t>Barthel Index（BI）, FIM</t>
        </is>
      </c>
      <c r="AB18" s="3" t="inlineStr">
        <is>
          <t>MMSE, HDS-R</t>
        </is>
      </c>
      <c r="AD18" s="3" t="inlineStr">
        <is>
          <t>TUG, Berg Balance Scale（BBS）, SPPB、Functional Reach Test（FRT）, ベッド周囲および病室環境</t>
        </is>
      </c>
      <c r="AF18" s="3" t="inlineStr">
        <is>
          <t>決まっていない</t>
        </is>
      </c>
      <c r="AH18" s="3" t="inlineStr">
        <is>
          <t>実際の患者に合わせて可能かどうかを各自判断している</t>
        </is>
      </c>
      <c r="AI18" s="3" t="inlineStr">
        <is>
          <t>下肢筋力強化, バランス練習, 歩行練習, 起立、着座動作練習, 環境調整, 補助具、装具の適正化, 認知面への介入, 行動面への介入</t>
        </is>
      </c>
    </row>
    <row r="19" ht="22.5" customHeight="1">
      <c r="A19" s="32" t="n">
        <v>46084.48365559028</v>
      </c>
      <c r="B19" s="3" t="inlineStr">
        <is>
          <t>三浦大介</t>
        </is>
      </c>
      <c r="C19" s="3" t="inlineStr">
        <is>
          <t>地方独立行政法人　岐阜県立多治見病院</t>
        </is>
      </c>
      <c r="D19" s="3" t="inlineStr">
        <is>
          <t>岐阜県</t>
        </is>
      </c>
      <c r="E19" s="3" t="inlineStr">
        <is>
          <t>miura-daisuke@tajimi-hospital.jp</t>
        </is>
      </c>
      <c r="F19" s="3" t="inlineStr">
        <is>
          <t>リハビリテーション科　理学療法士</t>
        </is>
      </c>
      <c r="G19" s="3" t="n">
        <v>159</v>
      </c>
      <c r="H19" s="3" t="n">
        <v>10</v>
      </c>
      <c r="I19" s="3" t="n">
        <v>0</v>
      </c>
      <c r="J19" s="3" t="inlineStr">
        <is>
          <t>届け出をしておらず、検討もしていない</t>
        </is>
      </c>
      <c r="K19" s="3" t="inlineStr">
        <is>
          <t>関節可動域運動, 筋力増強運動, 呼吸リハビリテーション, DVT予防, 自主運動指導, 術後リハビリテーションのオリエンテーション, 離床（例：車椅子移乗,立位,歩行など）</t>
        </is>
      </c>
      <c r="L19" s="3" t="inlineStr">
        <is>
          <t>全症例の50％〜74％程度</t>
        </is>
      </c>
      <c r="M19" s="3" t="inlineStr">
        <is>
          <t>鎮痛薬による疼痛コントロール
高頻度介入</t>
        </is>
      </c>
      <c r="N19" s="3" t="inlineStr">
        <is>
          <t>全症例の25％〜49％程度</t>
        </is>
      </c>
      <c r="P19" s="3" t="inlineStr">
        <is>
          <t>全症例の0％〜24％程度</t>
        </is>
      </c>
      <c r="R19" s="3" t="inlineStr">
        <is>
          <t>全症例の0％〜24％程度</t>
        </is>
      </c>
      <c r="T19" s="3" t="inlineStr">
        <is>
          <t>SPPB, TUG, 6分間歩行距離</t>
        </is>
      </c>
      <c r="V19" s="3" t="inlineStr">
        <is>
          <t>TUG, 6分間歩行距離, 認知機能</t>
        </is>
      </c>
      <c r="X19" s="3" t="inlineStr">
        <is>
          <t>実施していない</t>
        </is>
      </c>
      <c r="Z19" s="3" t="inlineStr">
        <is>
          <t>Barthel Index（BI）</t>
        </is>
      </c>
      <c r="AB19" s="3" t="inlineStr">
        <is>
          <t>HDS-R, AMTS</t>
        </is>
      </c>
      <c r="AD19" s="3" t="inlineStr">
        <is>
          <t>TUG, SPPB、Functional Reach Test（FRT）, 認知機能, せん妄, 既往疾患の有無（脳血管疾患、パーキンソン病など）, 薬剤（向精神薬、降圧薬、利尿薬、ポリファーマシーなど）, ベッド周囲および病室環境</t>
        </is>
      </c>
      <c r="AF19" s="3" t="inlineStr">
        <is>
          <t>決まっている</t>
        </is>
      </c>
      <c r="AG19" s="3" t="inlineStr">
        <is>
          <t>退院時</t>
        </is>
      </c>
      <c r="AI19" s="3" t="inlineStr">
        <is>
          <t>下肢筋力強化, バランス練習, 歩行練習, 歩容改善, 起立、着座動作練習, 環境調整, 補助具、装具の適正化, 認知面への介入</t>
        </is>
      </c>
    </row>
    <row r="20" ht="22.5" customHeight="1">
      <c r="A20" s="32" t="n">
        <v>46084.56042282408</v>
      </c>
      <c r="B20" s="3" t="inlineStr">
        <is>
          <t>永松　康太</t>
        </is>
      </c>
      <c r="C20" s="3" t="inlineStr">
        <is>
          <t>神奈川県厚生連　伊勢原協同病院</t>
        </is>
      </c>
      <c r="D20" s="3" t="inlineStr">
        <is>
          <t>神奈川県</t>
        </is>
      </c>
      <c r="E20" s="3" t="inlineStr">
        <is>
          <t>kotadk.h@gmail.com</t>
        </is>
      </c>
      <c r="F20" s="3" t="inlineStr">
        <is>
          <t>リハビリテーション室/理学療法士</t>
        </is>
      </c>
      <c r="G20" s="3" t="n">
        <v>189</v>
      </c>
      <c r="H20" s="3" t="n">
        <v>7</v>
      </c>
      <c r="I20" s="3" t="n">
        <v>4</v>
      </c>
      <c r="J20" s="3" t="inlineStr">
        <is>
          <t>届け出をしておらず、検討もしていない</t>
        </is>
      </c>
      <c r="K20" s="3" t="inlineStr">
        <is>
          <t>関節可動域運動, 筋力増強運動, DVT予防, リラクセーション, ポジショニング, 自主運動指導, 術後リハビリテーションのオリエンテーション</t>
        </is>
      </c>
      <c r="L20" s="3" t="inlineStr">
        <is>
          <t>全症例の0％〜24％程度</t>
        </is>
      </c>
      <c r="N20" s="3" t="inlineStr">
        <is>
          <t>全症例の0％〜24％程度</t>
        </is>
      </c>
      <c r="P20" s="3" t="inlineStr">
        <is>
          <t>全症例の0％〜24％程度</t>
        </is>
      </c>
      <c r="R20" s="3" t="inlineStr">
        <is>
          <t>全症例の0％〜24％程度</t>
        </is>
      </c>
      <c r="T20" s="3" t="inlineStr">
        <is>
          <t>膝伸展筋力, 歩行速度</t>
        </is>
      </c>
      <c r="V20" s="3" t="inlineStr">
        <is>
          <t>認知機能</t>
        </is>
      </c>
      <c r="X20" s="3" t="inlineStr">
        <is>
          <t>実施していない</t>
        </is>
      </c>
      <c r="Y20" s="3" t="inlineStr">
        <is>
          <t>理由は特にありません</t>
        </is>
      </c>
      <c r="Z20" s="3" t="inlineStr">
        <is>
          <t>Barthel Index（BI）</t>
        </is>
      </c>
      <c r="AB20" s="3" t="inlineStr">
        <is>
          <t>HDS-R, AMTS</t>
        </is>
      </c>
      <c r="AD20" s="3" t="inlineStr">
        <is>
          <t>定量的な下肢筋力測定, 認知機能, 過去の転倒歴, 既往疾患の有無（脳血管疾患、パーキンソン病など）, 薬剤（向精神薬、降圧薬、利尿薬、ポリファーマシーなど）, ベッド周囲および病室環境</t>
        </is>
      </c>
      <c r="AF20" s="3" t="inlineStr">
        <is>
          <t>決まっていない</t>
        </is>
      </c>
      <c r="AH20" s="3" t="inlineStr">
        <is>
          <t>通常の理学療法評価の中で行うため、特に決まっていません。</t>
        </is>
      </c>
      <c r="AI20" s="3" t="inlineStr">
        <is>
          <t>下肢筋力強化, バランス練習, 歩行練習, 歩容改善, 起立、着座動作練習, 環境調整</t>
        </is>
      </c>
    </row>
    <row r="21" ht="22.5" customHeight="1">
      <c r="A21" s="32" t="n">
        <v>46084.57717138889</v>
      </c>
      <c r="B21" s="3" t="inlineStr">
        <is>
          <t>高橋智之</t>
        </is>
      </c>
      <c r="C21" s="3" t="inlineStr">
        <is>
          <t>関口病院</t>
        </is>
      </c>
      <c r="D21" s="3" t="inlineStr">
        <is>
          <t>群馬県</t>
        </is>
      </c>
      <c r="E21" s="3" t="inlineStr">
        <is>
          <t>t.takahashi@kouwa-sekiguchi.com</t>
        </is>
      </c>
      <c r="F21" s="3" t="inlineStr">
        <is>
          <t>リハビリテーション課/理学療法士</t>
        </is>
      </c>
      <c r="G21" s="3" t="n">
        <v>189</v>
      </c>
      <c r="H21" s="3" t="n">
        <v>20</v>
      </c>
      <c r="I21" s="3" t="n">
        <v>0</v>
      </c>
      <c r="J21" s="3" t="inlineStr">
        <is>
          <t>届け出をしておらず、検討もしていない</t>
        </is>
      </c>
      <c r="K21" s="3" t="inlineStr">
        <is>
          <t>関節可動域運動, 筋力増強運動, 呼吸リハビリテーション, DVT予防, リラクセーション, ポジショニング, 離床（例：車椅子移乗,立位,歩行など）</t>
        </is>
      </c>
      <c r="L21" s="3" t="inlineStr">
        <is>
          <t>全症例の0％〜24％程度</t>
        </is>
      </c>
      <c r="N21" s="3" t="inlineStr">
        <is>
          <t>全症例の0％〜24％程度</t>
        </is>
      </c>
      <c r="P21" s="3" t="inlineStr">
        <is>
          <t>全症例の0％〜24％程度</t>
        </is>
      </c>
      <c r="R21" s="3" t="inlineStr">
        <is>
          <t>全症例の0％〜24％程度</t>
        </is>
      </c>
      <c r="T21" s="3" t="inlineStr">
        <is>
          <t>握力, 膝伸展筋力, 5回椅子立ち上がりテスト, 6分間歩行距離, 下腿周径</t>
        </is>
      </c>
      <c r="V21" s="3" t="inlineStr">
        <is>
          <t>握力</t>
        </is>
      </c>
      <c r="X21" s="3" t="inlineStr">
        <is>
          <t>立ち上がりテスト</t>
        </is>
      </c>
      <c r="Z21" s="3" t="inlineStr">
        <is>
          <t>Barthel Index（BI）, FIM</t>
        </is>
      </c>
      <c r="AB21" s="3" t="inlineStr">
        <is>
          <t>HDS-R</t>
        </is>
      </c>
      <c r="AD21" s="3" t="inlineStr">
        <is>
          <t>定量的な下肢筋力測定, 5回椅子立ち上がりテスト, 過去の転倒歴, 既往疾患の有無（脳血管疾患、パーキンソン病など）, 薬剤（向精神薬、降圧薬、利尿薬、ポリファーマシーなど）</t>
        </is>
      </c>
      <c r="AF21" s="3" t="inlineStr">
        <is>
          <t>決まっていない</t>
        </is>
      </c>
      <c r="AH21" s="3" t="inlineStr">
        <is>
          <t>退院前に一回実施するため、患者によって実施するタイミングが異なるから</t>
        </is>
      </c>
      <c r="AI21" s="3" t="inlineStr">
        <is>
          <t>下肢筋力強化, バランス練習, 歩行練習, 歩容改善, 起立、着座動作練習, 環境調整, 行動面への介入, 教育、指導</t>
        </is>
      </c>
    </row>
    <row r="22" ht="22.5" customHeight="1">
      <c r="A22" s="32" t="n">
        <v>46084.58071894676</v>
      </c>
      <c r="B22" s="3" t="inlineStr">
        <is>
          <t>藤野裕気</t>
        </is>
      </c>
      <c r="C22" s="3" t="inlineStr">
        <is>
          <t>医療法人吉野会はやと整形外科</t>
        </is>
      </c>
      <c r="D22" s="3" t="inlineStr">
        <is>
          <t>鹿児島県</t>
        </is>
      </c>
      <c r="E22" s="3" t="inlineStr">
        <is>
          <t>hayatoseikei-riha@po2.synapse.ne.jp</t>
        </is>
      </c>
      <c r="F22" s="3" t="inlineStr">
        <is>
          <t>リハビリテーション科/理学療法士</t>
        </is>
      </c>
      <c r="G22" s="3" t="n">
        <v>27</v>
      </c>
      <c r="H22" s="3" t="n">
        <v>7</v>
      </c>
      <c r="I22" s="3" t="n">
        <v>1</v>
      </c>
      <c r="J22" s="3" t="inlineStr">
        <is>
          <t>届け出はしていないが、現在検討中である</t>
        </is>
      </c>
      <c r="K22" s="3" t="inlineStr">
        <is>
          <t>関節可動域運動, 筋力増強運動, DVT予防, リラクセーション, ポジショニング, 自主運動指導, 術後リハビリテーションのオリエンテーション</t>
        </is>
      </c>
      <c r="L22" s="3" t="inlineStr">
        <is>
          <t>全症例の25％〜49％程度</t>
        </is>
      </c>
      <c r="N22" s="3" t="inlineStr">
        <is>
          <t>全症例の25％〜49％程度</t>
        </is>
      </c>
      <c r="P22" s="3" t="inlineStr">
        <is>
          <t>全症例の25％〜49％程度</t>
        </is>
      </c>
      <c r="R22" s="3" t="inlineStr">
        <is>
          <t>全症例の0％〜24％程度</t>
        </is>
      </c>
      <c r="T22" s="3" t="inlineStr">
        <is>
          <t>握力, 5回椅子立ち上がりテスト, TUG, 開眼片脚立位時間, 下腿周径</t>
        </is>
      </c>
      <c r="V22" s="3" t="inlineStr">
        <is>
          <t>TUG, 握力</t>
        </is>
      </c>
      <c r="X22" s="3" t="inlineStr">
        <is>
          <t>立ち上がりテスト, 2ステップテスト</t>
        </is>
      </c>
      <c r="Z22" s="3" t="inlineStr">
        <is>
          <t>Barthel Index（BI）, FIM</t>
        </is>
      </c>
      <c r="AB22" s="3" t="inlineStr">
        <is>
          <t>実施していない</t>
        </is>
      </c>
      <c r="AC22" s="3" t="inlineStr">
        <is>
          <t>看護師がAMTSまたはHDS-Rを実施している為</t>
        </is>
      </c>
      <c r="AD22" s="3" t="inlineStr">
        <is>
          <t>開眼片脚立位時間, TUG, 5回椅子立ち上がりテスト, Fall Risk Index</t>
        </is>
      </c>
      <c r="AF22" s="3" t="inlineStr">
        <is>
          <t>決まっていない</t>
        </is>
      </c>
      <c r="AH22" s="3" t="inlineStr">
        <is>
          <t>患者様により立位や歩行できる時期が異なる為</t>
        </is>
      </c>
      <c r="AI22" s="3" t="inlineStr">
        <is>
          <t>下肢筋力強化, バランス練習, 歩行練習, 歩容改善, 起立、着座動作練習, 環境調整, 補助具、装具の適正化, 行動面への介入, 教育、指導</t>
        </is>
      </c>
    </row>
    <row r="23" ht="22.5" customHeight="1">
      <c r="A23" s="32" t="n">
        <v>46084.59174651621</v>
      </c>
      <c r="B23" s="3" t="inlineStr">
        <is>
          <t>今井智文</t>
        </is>
      </c>
      <c r="C23" s="3" t="inlineStr">
        <is>
          <t>豊川市民病院</t>
        </is>
      </c>
      <c r="D23" s="3" t="inlineStr">
        <is>
          <t>愛知県</t>
        </is>
      </c>
      <c r="E23" s="3" t="inlineStr">
        <is>
          <t>reha@toyokawa-ch-aichi.jp</t>
        </is>
      </c>
      <c r="F23" s="3" t="inlineStr">
        <is>
          <t>リハビリテーション技術科/理学療法士</t>
        </is>
      </c>
      <c r="G23" s="3" t="n">
        <v>229</v>
      </c>
      <c r="H23" s="3" t="n">
        <v>18</v>
      </c>
      <c r="I23" s="3" t="n">
        <v>8</v>
      </c>
      <c r="J23" s="3" t="inlineStr">
        <is>
          <t>届け出をしておらず、検討もしていない</t>
        </is>
      </c>
      <c r="K23" s="3" t="inlineStr">
        <is>
          <t>筋力増強運動, DVT予防, リラクセーション, ポジショニング, 自主運動指導, 術後リハビリテーションのオリエンテーション</t>
        </is>
      </c>
      <c r="L23" s="3" t="inlineStr">
        <is>
          <t>全症例の25％〜49％程度</t>
        </is>
      </c>
      <c r="N23" s="3" t="inlineStr">
        <is>
          <t>全症例の0％〜24％程度</t>
        </is>
      </c>
      <c r="P23" s="3" t="inlineStr">
        <is>
          <t>全症例の0％〜24％程度</t>
        </is>
      </c>
      <c r="R23" s="3" t="inlineStr">
        <is>
          <t>全症例の0％〜24％程度</t>
        </is>
      </c>
      <c r="T23" s="3" t="inlineStr">
        <is>
          <t>実施していない</t>
        </is>
      </c>
      <c r="U23" s="3" t="inlineStr">
        <is>
          <t>術前はベッド上安静で評価実施困難。（座位・起立・歩行は困難）術後は機能回復のための介入が中心となります。</t>
        </is>
      </c>
      <c r="V23" s="3" t="inlineStr">
        <is>
          <t>実施していない</t>
        </is>
      </c>
      <c r="W23" s="3" t="inlineStr">
        <is>
          <t>術前はベッド上安静で評価実施困難。（座位・起立・歩行は困難）術後は機能回復のための介入が中心となります。</t>
        </is>
      </c>
      <c r="X23" s="3" t="inlineStr">
        <is>
          <t>実施していない</t>
        </is>
      </c>
      <c r="Y23" s="3" t="inlineStr">
        <is>
          <t>術前はベッド上安静で評価実施困難。（座位・起立・歩行は困難）術後は機能回復のための介入が中心となります。</t>
        </is>
      </c>
      <c r="Z23" s="3" t="inlineStr">
        <is>
          <t>Barthel Index（BI）, FIM</t>
        </is>
      </c>
      <c r="AB23" s="3" t="inlineStr">
        <is>
          <t>MMSE, HDS-R, AMTS</t>
        </is>
      </c>
      <c r="AD23" s="3" t="inlineStr">
        <is>
          <t>定量的な下肢筋力測定, 認知機能, 注意障害, ベッド周囲および病室環境, 転倒予防カンファレンスへの参加</t>
        </is>
      </c>
      <c r="AF23" s="3" t="inlineStr">
        <is>
          <t>決まっている</t>
        </is>
      </c>
      <c r="AG23" s="3" t="inlineStr">
        <is>
          <t>術後３日以内</t>
        </is>
      </c>
      <c r="AI23" s="3" t="inlineStr">
        <is>
          <t>下肢筋力強化, バランス練習, 歩行練習, 歩容改善, 起立、着座動作練習, 環境調整, 補助具、装具の適正化, 認知面への介入, 行動面への介入, 教育、指導</t>
        </is>
      </c>
    </row>
    <row r="24" ht="22.5" customHeight="1">
      <c r="A24" s="32" t="n">
        <v>46084.59477018518</v>
      </c>
      <c r="B24" s="3" t="inlineStr">
        <is>
          <t>屋宜　秀明</t>
        </is>
      </c>
      <c r="C24" s="3" t="inlineStr">
        <is>
          <t>徳島市民病院</t>
        </is>
      </c>
      <c r="D24" s="3" t="inlineStr">
        <is>
          <t>徳島県</t>
        </is>
      </c>
      <c r="E24" s="3" t="inlineStr">
        <is>
          <t>hideaki_rx78@yahoo.co.jp</t>
        </is>
      </c>
      <c r="F24" s="3" t="inlineStr">
        <is>
          <t>リハビリテーション科／理学療法士</t>
        </is>
      </c>
      <c r="G24" s="3" t="n">
        <v>203</v>
      </c>
      <c r="H24" s="3" t="n">
        <v>13</v>
      </c>
      <c r="I24" s="3" t="n">
        <v>0</v>
      </c>
      <c r="J24" s="3" t="inlineStr">
        <is>
          <t>届け出をしておらず、検討もしていない</t>
        </is>
      </c>
      <c r="K24" s="3" t="inlineStr">
        <is>
          <t>関節可動域運動, DVT予防, ポジショニング, 自主運動指導, 術後リハビリテーションのオリエンテーション</t>
        </is>
      </c>
      <c r="L24" s="3" t="inlineStr">
        <is>
          <t>全症例の25％〜49％程度</t>
        </is>
      </c>
      <c r="N24" s="3" t="inlineStr">
        <is>
          <t>全症例の0％〜24％程度</t>
        </is>
      </c>
      <c r="P24" s="3" t="inlineStr">
        <is>
          <t>全症例の0％〜24％程度</t>
        </is>
      </c>
      <c r="R24" s="3" t="inlineStr">
        <is>
          <t>全症例の0％〜24％程度</t>
        </is>
      </c>
      <c r="T24" s="3" t="inlineStr">
        <is>
          <t>握力, 下腿周径</t>
        </is>
      </c>
      <c r="V24" s="3" t="inlineStr">
        <is>
          <t>握力</t>
        </is>
      </c>
      <c r="X24" s="3" t="inlineStr">
        <is>
          <t>実施していない</t>
        </is>
      </c>
      <c r="Z24" s="3" t="inlineStr">
        <is>
          <t>Barthel Index（BI）</t>
        </is>
      </c>
      <c r="AB24" s="3" t="inlineStr">
        <is>
          <t>MMSE, HDS-R</t>
        </is>
      </c>
      <c r="AD24" s="3" t="inlineStr">
        <is>
          <t>実施していない</t>
        </is>
      </c>
      <c r="AE24" s="3" t="inlineStr">
        <is>
          <t>各セラピストが評価を行い訓練を実施していますが、特定の評価を必須にはしてません。</t>
        </is>
      </c>
      <c r="AI24" s="3" t="inlineStr">
        <is>
          <t>下肢筋力強化, バランス練習, 歩行練習, 環境調整</t>
        </is>
      </c>
    </row>
    <row r="25" ht="22.5" customHeight="1">
      <c r="A25" s="32" t="n">
        <v>46084.6470103588</v>
      </c>
      <c r="B25" s="3" t="inlineStr">
        <is>
          <t>荒木 裕介</t>
        </is>
      </c>
      <c r="C25" s="3" t="inlineStr">
        <is>
          <t>医療法人 讃高会 枚方東整形外科病院</t>
        </is>
      </c>
      <c r="D25" s="3" t="inlineStr">
        <is>
          <t>大阪府</t>
        </is>
      </c>
      <c r="E25" s="3" t="inlineStr">
        <is>
          <t>takai.rihabiri@sankokai.or.jp</t>
        </is>
      </c>
      <c r="F25" s="3" t="inlineStr">
        <is>
          <t>リハビリテーション室/理学療法士</t>
        </is>
      </c>
      <c r="G25" s="3" t="n">
        <v>106</v>
      </c>
      <c r="H25" s="3" t="n">
        <v>9</v>
      </c>
      <c r="I25" s="3" t="n">
        <v>0</v>
      </c>
      <c r="J25" s="3" t="inlineStr">
        <is>
          <t>届け出をしておらず、検討もしていない</t>
        </is>
      </c>
      <c r="K25" s="3" t="inlineStr">
        <is>
          <t>関節可動域運動, 筋力増強運動, リラクセーション, ポジショニング</t>
        </is>
      </c>
      <c r="L25" s="3" t="inlineStr">
        <is>
          <t>全症例の0％〜24％程度</t>
        </is>
      </c>
      <c r="N25" s="3" t="inlineStr">
        <is>
          <t>全症例の0％〜24％程度</t>
        </is>
      </c>
      <c r="P25" s="3" t="inlineStr">
        <is>
          <t>全症例の0％〜24％程度</t>
        </is>
      </c>
      <c r="R25" s="3" t="inlineStr">
        <is>
          <t>全症例の0％〜24％程度</t>
        </is>
      </c>
      <c r="T25" s="3" t="inlineStr">
        <is>
          <t>握力, 膝伸展筋力, 歩行速度</t>
        </is>
      </c>
      <c r="V25" s="3" t="inlineStr">
        <is>
          <t>抑うつや意欲低下, 握力</t>
        </is>
      </c>
      <c r="X25" s="3" t="inlineStr">
        <is>
          <t>実施していない</t>
        </is>
      </c>
      <c r="Z25" s="3" t="inlineStr">
        <is>
          <t>Barthel Index（BI）, FIM</t>
        </is>
      </c>
      <c r="AB25" s="3" t="inlineStr">
        <is>
          <t>実施していない</t>
        </is>
      </c>
      <c r="AD25" s="3" t="inlineStr">
        <is>
          <t>実施していない</t>
        </is>
      </c>
      <c r="AE25" s="3" t="inlineStr">
        <is>
          <t>片脚立位等，各々で評価はしているが，施設して定められた評価は無い</t>
        </is>
      </c>
      <c r="AI25" s="3" t="inlineStr">
        <is>
          <t>下肢筋力強化, バランス練習, 歩行練習, 歩容改善, 起立、着座動作練習, 環境調整, 教育、指導</t>
        </is>
      </c>
    </row>
    <row r="26" ht="22.5" customHeight="1">
      <c r="A26" s="32" t="n">
        <v>46084.66971798611</v>
      </c>
      <c r="B26" s="3" t="inlineStr">
        <is>
          <t>堂前　伸</t>
        </is>
      </c>
      <c r="C26" s="3" t="inlineStr">
        <is>
          <t>東京歯科大学市川総合病院</t>
        </is>
      </c>
      <c r="D26" s="3" t="inlineStr">
        <is>
          <t>千葉県</t>
        </is>
      </c>
      <c r="E26" s="3" t="inlineStr">
        <is>
          <t>sdoumae@tdc.ac.jp</t>
        </is>
      </c>
      <c r="F26" s="3" t="inlineStr">
        <is>
          <t>リハビリテーション科/理学療法士</t>
        </is>
      </c>
      <c r="G26" s="3" t="n">
        <v>52</v>
      </c>
      <c r="H26" s="3" t="n">
        <v>7</v>
      </c>
      <c r="I26" s="3" t="n">
        <v>0</v>
      </c>
      <c r="J26" s="3" t="inlineStr">
        <is>
          <t>届け出をしておらず、検討もしていない</t>
        </is>
      </c>
      <c r="K26" s="3" t="inlineStr">
        <is>
          <t>術前評価のみ</t>
        </is>
      </c>
      <c r="L26" s="3" t="inlineStr">
        <is>
          <t>全症例の0％〜24％程度</t>
        </is>
      </c>
      <c r="N26" s="3" t="inlineStr">
        <is>
          <t>全症例の0％〜24％程度</t>
        </is>
      </c>
      <c r="P26" s="3" t="inlineStr">
        <is>
          <t>全症例の0％〜24％程度</t>
        </is>
      </c>
      <c r="R26" s="3" t="inlineStr">
        <is>
          <t>全症例の0％〜24％程度</t>
        </is>
      </c>
      <c r="T26" s="3" t="inlineStr">
        <is>
          <t>握力, 膝伸展筋力, 5回椅子立ち上がりテスト, 歩行速度, TUG, 開眼片脚立位時間, 下腿周径</t>
        </is>
      </c>
      <c r="V26" s="3" t="inlineStr">
        <is>
          <t>TUG, 6分間歩行距離, 認知機能, 握力</t>
        </is>
      </c>
      <c r="X26" s="3" t="inlineStr">
        <is>
          <t>立ち上がりテスト, ロコモ25（質問票）</t>
        </is>
      </c>
      <c r="Z26" s="3" t="inlineStr">
        <is>
          <t>Barthel Index（BI）, FIM</t>
        </is>
      </c>
      <c r="AB26" s="3" t="inlineStr">
        <is>
          <t>MMSE, HDS-R</t>
        </is>
      </c>
      <c r="AD26" s="3" t="inlineStr">
        <is>
          <t>認知機能, せん妄, 過去の転倒歴, 既往疾患の有無（脳血管疾患、パーキンソン病など）, 薬剤（向精神薬、降圧薬、利尿薬、ポリファーマシーなど）, ベッド周囲および病室環境</t>
        </is>
      </c>
      <c r="AF26" s="3" t="inlineStr">
        <is>
          <t>決まっていない</t>
        </is>
      </c>
      <c r="AH26" s="3" t="inlineStr">
        <is>
          <t>動作獲得に個人差があるため、立位・歩行が可能となったタイミングで実施</t>
        </is>
      </c>
      <c r="AI26" s="3" t="inlineStr">
        <is>
          <t>下肢筋力強化, バランス練習, 歩行練習, 起立、着座動作練習, 環境調整</t>
        </is>
      </c>
    </row>
    <row r="27" ht="22.5" customHeight="1">
      <c r="A27" s="32" t="n">
        <v>46084.69186810185</v>
      </c>
      <c r="B27" s="3" t="inlineStr">
        <is>
          <t>木ノ下哲嗣</t>
        </is>
      </c>
      <c r="C27" s="3" t="inlineStr">
        <is>
          <t>手稲渓仁会病院</t>
        </is>
      </c>
      <c r="D27" s="3" t="inlineStr">
        <is>
          <t>北海道</t>
        </is>
      </c>
      <c r="E27" s="3" t="inlineStr">
        <is>
          <t>kinoshita-sat@keijinkai.or.jp</t>
        </is>
      </c>
      <c r="F27" s="3" t="inlineStr">
        <is>
          <t>リハビリテーション部/理学療法士</t>
        </is>
      </c>
      <c r="G27" s="3" t="n">
        <v>70</v>
      </c>
      <c r="H27" s="3" t="n">
        <v>13</v>
      </c>
      <c r="I27" s="3" t="n">
        <v>4</v>
      </c>
      <c r="J27" s="3" t="inlineStr">
        <is>
          <t>届け出をしておらず、検討もしていない</t>
        </is>
      </c>
      <c r="K27" s="3" t="inlineStr">
        <is>
          <t>関節可動域運動, 筋力増強運動, 呼吸リハビリテーション, DVT予防, リラクセーション, ポジショニング, 自主運動指導, 術後リハビリテーションのオリエンテーション, 離床（例：車椅子移乗,立位,歩行など）</t>
        </is>
      </c>
      <c r="L27" s="3" t="inlineStr">
        <is>
          <t>全症例の25％〜49％程度</t>
        </is>
      </c>
      <c r="N27" s="3" t="inlineStr">
        <is>
          <t>全症例の0％〜24％程度</t>
        </is>
      </c>
      <c r="P27" s="3" t="inlineStr">
        <is>
          <t>全症例の0％〜24％程度</t>
        </is>
      </c>
      <c r="R27" s="3" t="inlineStr">
        <is>
          <t>全症例の0％〜24％程度</t>
        </is>
      </c>
      <c r="T27" s="3" t="inlineStr">
        <is>
          <t>膝伸展筋力, 歩行速度, TUG</t>
        </is>
      </c>
      <c r="V27" s="3" t="inlineStr">
        <is>
          <t>J-CHS基準, 認知機能, 抑うつや意欲低下</t>
        </is>
      </c>
      <c r="X27" s="3" t="inlineStr">
        <is>
          <t>実施していない</t>
        </is>
      </c>
      <c r="Z27" s="3" t="inlineStr">
        <is>
          <t>Barthel Index（BI）, FIM</t>
        </is>
      </c>
      <c r="AB27" s="3" t="inlineStr">
        <is>
          <t>MMSE, AMTS</t>
        </is>
      </c>
      <c r="AD27" s="3" t="inlineStr">
        <is>
          <t>定量的な下肢筋力測定, TUG, 10m歩行速度, Berg Balance Scale（BBS）</t>
        </is>
      </c>
      <c r="AF27" s="3" t="inlineStr">
        <is>
          <t>決まっている</t>
        </is>
      </c>
      <c r="AG27" s="3" t="inlineStr">
        <is>
          <t>術前もしくは術後１日目</t>
        </is>
      </c>
      <c r="AI27" s="3" t="inlineStr">
        <is>
          <t>下肢筋力強化, バランス練習, 歩行練習, 歩容改善, 起立、着座動作練習, 環境調整, 認知面への介入</t>
        </is>
      </c>
    </row>
    <row r="28" ht="22.5" customHeight="1">
      <c r="A28" s="32" t="n">
        <v>46084.71334851852</v>
      </c>
      <c r="B28" s="3" t="inlineStr">
        <is>
          <t>山下　麻美</t>
        </is>
      </c>
      <c r="C28" s="3" t="inlineStr">
        <is>
          <t>済生会長崎病院</t>
        </is>
      </c>
      <c r="D28" s="3" t="inlineStr">
        <is>
          <t>長崎県</t>
        </is>
      </c>
      <c r="E28" s="3" t="inlineStr">
        <is>
          <t>mami.saisei.0913@gmail.com</t>
        </is>
      </c>
      <c r="F28" s="3" t="inlineStr">
        <is>
          <t>リハビリテーション部／理学療法士</t>
        </is>
      </c>
      <c r="G28" s="3" t="n">
        <v>239</v>
      </c>
      <c r="H28" s="3" t="n">
        <v>14</v>
      </c>
      <c r="I28" s="3" t="n">
        <v>0</v>
      </c>
      <c r="J28" s="3" t="inlineStr">
        <is>
          <t>届け出をしておらず、検討もしていない</t>
        </is>
      </c>
      <c r="K28" s="3" t="inlineStr">
        <is>
          <t>関節可動域運動, 筋力増強運動, DVT予防, リラクセーション, ポジショニング, 自主運動指導, 術後リハビリテーションのオリエンテーション</t>
        </is>
      </c>
      <c r="L28" s="3" t="inlineStr">
        <is>
          <t>全症例の75％〜100％程度</t>
        </is>
      </c>
      <c r="M28" s="3" t="inlineStr">
        <is>
          <t>術後翌日からのリハビリテーションの介入。</t>
        </is>
      </c>
      <c r="N28" s="3" t="inlineStr">
        <is>
          <t>全症例の0％〜24％程度</t>
        </is>
      </c>
      <c r="P28" s="3" t="inlineStr">
        <is>
          <t>全症例の0％〜24％程度</t>
        </is>
      </c>
      <c r="R28" s="3" t="inlineStr">
        <is>
          <t>全症例の0％〜24％程度</t>
        </is>
      </c>
      <c r="T28" s="3" t="inlineStr">
        <is>
          <t>実施していない</t>
        </is>
      </c>
      <c r="U28" s="3" t="inlineStr">
        <is>
          <t>その他評価で対応。</t>
        </is>
      </c>
      <c r="V28" s="3" t="inlineStr">
        <is>
          <t>実施していない</t>
        </is>
      </c>
      <c r="W28" s="3" t="inlineStr">
        <is>
          <t>その他評価で対応。</t>
        </is>
      </c>
      <c r="X28" s="3" t="inlineStr">
        <is>
          <t>実施していない</t>
        </is>
      </c>
      <c r="Y28" s="3" t="inlineStr">
        <is>
          <t>その他評価で対応。</t>
        </is>
      </c>
      <c r="Z28" s="3" t="inlineStr">
        <is>
          <t>Barthel Index（BI）</t>
        </is>
      </c>
      <c r="AB28" s="3" t="inlineStr">
        <is>
          <t>MMSE, HDS-R, MoCA</t>
        </is>
      </c>
      <c r="AD28" s="3" t="inlineStr">
        <is>
          <t>実施していない</t>
        </is>
      </c>
      <c r="AE28" s="3" t="inlineStr">
        <is>
          <t>患者によって、必要な評価を選定して行っている。</t>
        </is>
      </c>
      <c r="AH28" s="3" t="inlineStr">
        <is>
          <t>同じ病名でも、年齢や性別等患者背景が異なるため。</t>
        </is>
      </c>
      <c r="AI28" s="3" t="inlineStr">
        <is>
          <t>下肢筋力強化, バランス練習, 歩行練習, 歩容改善, 起立、着座動作練習, 環境調整, 補助具、装具の適正化, 認知面への介入, 行動面への介入, 薬剤調整, 教育、指導</t>
        </is>
      </c>
    </row>
    <row r="29" ht="22.5" customHeight="1">
      <c r="A29" s="32" t="n">
        <v>46084.72281324074</v>
      </c>
      <c r="B29" s="3" t="inlineStr">
        <is>
          <t>岡野宏信</t>
        </is>
      </c>
      <c r="C29" s="3" t="inlineStr">
        <is>
          <t>香川県立中央病院</t>
        </is>
      </c>
      <c r="D29" s="3" t="inlineStr">
        <is>
          <t>香川県</t>
        </is>
      </c>
      <c r="E29" s="3" t="inlineStr">
        <is>
          <t>oknhiron@gmail.com</t>
        </is>
      </c>
      <c r="F29" s="3" t="inlineStr">
        <is>
          <t>リハビリテーション部/理学療法士</t>
        </is>
      </c>
      <c r="G29" s="3" t="n">
        <v>138</v>
      </c>
      <c r="H29" s="3" t="n">
        <v>8</v>
      </c>
      <c r="I29" s="3" t="n">
        <v>0</v>
      </c>
      <c r="J29" s="3" t="inlineStr">
        <is>
          <t>届け出をしておらず、検討もしていない</t>
        </is>
      </c>
      <c r="K29" s="3" t="inlineStr">
        <is>
          <t>関節可動域運動, 筋力増強運動, 呼吸リハビリテーション, DVT予防, リラクセーション, ポジショニング, 自主運動指導, 術後リハビリテーションのオリエンテーション</t>
        </is>
      </c>
      <c r="L29" s="3" t="inlineStr">
        <is>
          <t>全症例の25％〜49％程度</t>
        </is>
      </c>
      <c r="N29" s="3" t="inlineStr">
        <is>
          <t>全症例の25％〜49％程度</t>
        </is>
      </c>
      <c r="P29" s="3" t="inlineStr">
        <is>
          <t>全症例の25％〜49％程度</t>
        </is>
      </c>
      <c r="R29" s="3" t="inlineStr">
        <is>
          <t>全症例の0％〜24％程度</t>
        </is>
      </c>
      <c r="T29" s="3" t="inlineStr">
        <is>
          <t>握力, 歩行速度</t>
        </is>
      </c>
      <c r="V29" s="3" t="inlineStr">
        <is>
          <t>実施していない</t>
        </is>
      </c>
      <c r="W29" s="3" t="inlineStr">
        <is>
          <t>データを利用していないため</t>
        </is>
      </c>
      <c r="X29" s="3" t="inlineStr">
        <is>
          <t>実施していない</t>
        </is>
      </c>
      <c r="Y29" s="3" t="inlineStr">
        <is>
          <t>データを利用していないため。</t>
        </is>
      </c>
      <c r="Z29" s="3" t="inlineStr">
        <is>
          <t>Barthel Index（BI）</t>
        </is>
      </c>
      <c r="AB29" s="3" t="inlineStr">
        <is>
          <t>AMTS</t>
        </is>
      </c>
      <c r="AD29" s="3" t="inlineStr">
        <is>
          <t xml:space="preserve">10m歩行速度, </t>
        </is>
      </c>
      <c r="AF29" s="3" t="inlineStr">
        <is>
          <t>決まっている</t>
        </is>
      </c>
      <c r="AG29" s="3" t="inlineStr">
        <is>
          <t>14日目を目安に行っている</t>
        </is>
      </c>
      <c r="AI29" s="3" t="inlineStr">
        <is>
          <t>下肢筋力強化, バランス練習, 歩行練習, 歩容改善, 起立、着座動作練習, 環境調整, 補助具、装具の適正化, 認知面への介入, 行動面への介入, 薬剤調整, 教育、指導</t>
        </is>
      </c>
    </row>
    <row r="30" ht="22.5" customHeight="1">
      <c r="A30" s="32" t="n">
        <v>46084.75414872685</v>
      </c>
      <c r="B30" s="3" t="inlineStr">
        <is>
          <t>藤井千博</t>
        </is>
      </c>
      <c r="C30" s="3" t="inlineStr">
        <is>
          <t>総合病院　聖隷浜松病院</t>
        </is>
      </c>
      <c r="D30" s="3" t="inlineStr">
        <is>
          <t>静岡県</t>
        </is>
      </c>
      <c r="E30" s="3" t="inlineStr">
        <is>
          <t>c-fujii@sis.seirei.or.jp</t>
        </is>
      </c>
      <c r="F30" s="3" t="inlineStr">
        <is>
          <t>リハビリテーション部／理学療法士</t>
        </is>
      </c>
      <c r="G30" s="3" t="n">
        <v>211</v>
      </c>
      <c r="H30" s="3" t="n">
        <v>10</v>
      </c>
      <c r="I30" s="3" t="n">
        <v>5</v>
      </c>
      <c r="J30" s="3" t="inlineStr">
        <is>
          <t>届け出はしていないが、現在検討中である</t>
        </is>
      </c>
      <c r="K30" s="3" t="inlineStr">
        <is>
          <t>実施していない</t>
        </is>
      </c>
      <c r="L30" s="3" t="inlineStr">
        <is>
          <t>全症例の0％〜24％程度</t>
        </is>
      </c>
      <c r="N30" s="3" t="inlineStr">
        <is>
          <t>全症例の0％〜24％程度</t>
        </is>
      </c>
      <c r="P30" s="3" t="inlineStr">
        <is>
          <t>全症例の0％〜24％程度</t>
        </is>
      </c>
      <c r="R30" s="3" t="inlineStr">
        <is>
          <t>全症例の0％〜24％程度</t>
        </is>
      </c>
      <c r="T30" s="3" t="inlineStr">
        <is>
          <t>実施していない</t>
        </is>
      </c>
      <c r="U30" s="3" t="inlineStr">
        <is>
          <t>サルコペニアに特化した評価は実施していない　各症例に必要な評価を実施している</t>
        </is>
      </c>
      <c r="V30" s="3" t="inlineStr">
        <is>
          <t>実施していない</t>
        </is>
      </c>
      <c r="W30" s="3" t="inlineStr">
        <is>
          <t xml:space="preserve">
フレイルに特化した評価は実施していない　各症例に必要な評価を実施している
</t>
        </is>
      </c>
      <c r="X30" s="3" t="inlineStr">
        <is>
          <t>実施していない</t>
        </is>
      </c>
      <c r="Y30" s="3" t="inlineStr">
        <is>
          <t xml:space="preserve">
ロコモに特化した評価は実施していない　各症例に必要な評価を実施している
</t>
        </is>
      </c>
      <c r="Z30" s="3" t="inlineStr">
        <is>
          <t>Barthel Index（BI）</t>
        </is>
      </c>
      <c r="AB30" s="3" t="inlineStr">
        <is>
          <t>MMSE, AMTS</t>
        </is>
      </c>
      <c r="AD30" s="3" t="inlineStr">
        <is>
          <t>実施していない</t>
        </is>
      </c>
      <c r="AE30" s="3" t="inlineStr">
        <is>
          <t xml:space="preserve">
活動の一環としては評価は実施していない　各症例に必要な評価を実施している
</t>
        </is>
      </c>
      <c r="AI30" s="3" t="inlineStr">
        <is>
          <t>下肢筋力強化, バランス練習, 歩行練習, 歩容改善, 起立、着座動作練習, 環境調整, 補助具、装具の適正化, 認知面への介入, 行動面への介入, 教育、指導</t>
        </is>
      </c>
    </row>
    <row r="31" ht="22.5" customHeight="1">
      <c r="A31" s="32" t="n">
        <v>46084.76854060185</v>
      </c>
      <c r="B31" s="3" t="inlineStr">
        <is>
          <t>那須崇史</t>
        </is>
      </c>
      <c r="C31" s="3" t="inlineStr">
        <is>
          <t>重工大須病院</t>
        </is>
      </c>
      <c r="D31" s="3" t="inlineStr">
        <is>
          <t>愛知県</t>
        </is>
      </c>
      <c r="E31" s="3" t="inlineStr">
        <is>
          <t>t-nasu@keimeikai.or.jp</t>
        </is>
      </c>
      <c r="F31" s="3" t="inlineStr">
        <is>
          <t>リハビリテーション部/理学療法士</t>
        </is>
      </c>
      <c r="G31" s="3" t="n">
        <v>176</v>
      </c>
      <c r="H31" s="3" t="n">
        <v>7</v>
      </c>
      <c r="I31" s="3" t="n">
        <v>2</v>
      </c>
      <c r="J31" s="3" t="inlineStr">
        <is>
          <t>現在、算定している</t>
        </is>
      </c>
      <c r="K31" s="3" t="inlineStr">
        <is>
          <t>関節可動域運動, 筋力増強運動, DVT予防, リラクセーション, ポジショニング, 自主運動指導, 術後リハビリテーションのオリエンテーション, 離床（例：車椅子移乗,立位,歩行など）, リアリティーオリエンテーション</t>
        </is>
      </c>
      <c r="L31" s="3" t="inlineStr">
        <is>
          <t>全症例の0％〜24％程度</t>
        </is>
      </c>
      <c r="N31" s="3" t="inlineStr">
        <is>
          <t>全症例の0％〜24％程度</t>
        </is>
      </c>
      <c r="P31" s="3" t="inlineStr">
        <is>
          <t>全症例の0％〜24％程度</t>
        </is>
      </c>
      <c r="R31" s="3" t="inlineStr">
        <is>
          <t>全症例の0％〜24％程度</t>
        </is>
      </c>
      <c r="T31" s="3" t="inlineStr">
        <is>
          <t>握力, 歩行速度, TUG, 下腿周径</t>
        </is>
      </c>
      <c r="V31" s="3" t="inlineStr">
        <is>
          <t>TUG, 認知機能, 握力</t>
        </is>
      </c>
      <c r="X31" s="3" t="inlineStr">
        <is>
          <t>実施していない</t>
        </is>
      </c>
      <c r="Y31" s="3" t="inlineStr">
        <is>
          <t>ロコモティブシンドロームとしての評価を設定していないため</t>
        </is>
      </c>
      <c r="Z31" s="3" t="inlineStr">
        <is>
          <t>Barthel Index（BI）, FIM</t>
        </is>
      </c>
      <c r="AB31" s="3" t="inlineStr">
        <is>
          <t>MMSE, MoCA</t>
        </is>
      </c>
      <c r="AD31" s="3" t="inlineStr">
        <is>
          <t>認知機能, 過去の転倒歴, Fall Risk Index</t>
        </is>
      </c>
      <c r="AF31" s="3" t="inlineStr">
        <is>
          <t>決まっている</t>
        </is>
      </c>
      <c r="AG31" s="3" t="inlineStr">
        <is>
          <t>術前に実施しています。</t>
        </is>
      </c>
      <c r="AI31" s="3" t="inlineStr">
        <is>
          <t>下肢筋力強化, バランス練習, 歩行練習, 歩容改善, 起立、着座動作練習, 環境調整, 補助具、装具の適正化, 認知面への介入, 行動面への介入, 教育、指導</t>
        </is>
      </c>
    </row>
    <row r="32" ht="22.5" customHeight="1">
      <c r="A32" s="32" t="n">
        <v>46084.80247515046</v>
      </c>
      <c r="B32" s="3" t="inlineStr">
        <is>
          <t>青木　敏明</t>
        </is>
      </c>
      <c r="C32" s="3" t="inlineStr">
        <is>
          <t>東京都立多摩総合医療センター</t>
        </is>
      </c>
      <c r="D32" s="3" t="inlineStr">
        <is>
          <t>東京都</t>
        </is>
      </c>
      <c r="E32" s="3" t="inlineStr">
        <is>
          <t>toshiaki_aoki@tmhp.jp</t>
        </is>
      </c>
      <c r="F32" s="3" t="inlineStr">
        <is>
          <t>リハビリテーション科／理学療法士</t>
        </is>
      </c>
      <c r="G32" s="3" t="n">
        <v>155</v>
      </c>
      <c r="H32" s="3" t="n">
        <v>18</v>
      </c>
      <c r="I32" s="3" t="n">
        <v>0</v>
      </c>
      <c r="J32" s="3" t="inlineStr">
        <is>
          <t>届け出はしていないが、現在検討中である</t>
        </is>
      </c>
      <c r="K32" s="3" t="inlineStr">
        <is>
          <t>関節可動域運動, 筋力増強運動, DVT予防, 術後リハビリテーションのオリエンテーション, 離床（例：車椅子移乗,立位,歩行など）</t>
        </is>
      </c>
      <c r="L32" s="3" t="inlineStr">
        <is>
          <t>全症例の50％〜74％程度</t>
        </is>
      </c>
      <c r="M32" s="3" t="inlineStr">
        <is>
          <t>痛みの評価・対症療法（軽めのROM・マッサージ等）</t>
        </is>
      </c>
      <c r="N32" s="3" t="inlineStr">
        <is>
          <t>全症例の50％〜74％程度</t>
        </is>
      </c>
      <c r="O32" s="3" t="inlineStr">
        <is>
          <t>覚醒状態のタイミングをみて介入</t>
        </is>
      </c>
      <c r="P32" s="3" t="inlineStr">
        <is>
          <t>全症例の50％〜74％程度</t>
        </is>
      </c>
      <c r="Q32" s="3" t="inlineStr">
        <is>
          <t>起立性低血圧が多く、段階的な姿勢調整とバイタルチェック</t>
        </is>
      </c>
      <c r="R32" s="3" t="inlineStr">
        <is>
          <t>全症例の0％〜24％程度</t>
        </is>
      </c>
      <c r="T32" s="3" t="inlineStr">
        <is>
          <t>各種評価は行っているが、サルコペニアの評価としては実施していない</t>
        </is>
      </c>
      <c r="U32" s="3" t="inlineStr">
        <is>
          <t>通常の術後評価のみ行っている</t>
        </is>
      </c>
      <c r="V32" s="3" t="inlineStr">
        <is>
          <t>各種評価は行っているが、フレイルの評価としては実施していない</t>
        </is>
      </c>
      <c r="W32" s="3" t="inlineStr">
        <is>
          <t>通常の術後評価のみ行っている</t>
        </is>
      </c>
      <c r="X32" s="3" t="inlineStr">
        <is>
          <t>各種評価は行っているが、ロコモの評価としては実施していない</t>
        </is>
      </c>
      <c r="Y32" s="3" t="inlineStr">
        <is>
          <t>通常の術後評価のみ行っている</t>
        </is>
      </c>
      <c r="Z32" s="3" t="inlineStr">
        <is>
          <t>Barthel Index（BI）, FIM</t>
        </is>
      </c>
      <c r="AB32" s="3" t="inlineStr">
        <is>
          <t>HDS-R</t>
        </is>
      </c>
      <c r="AD32" s="3" t="inlineStr">
        <is>
          <t>各種評価は行っているが、特に定められた評価としては実施していない</t>
        </is>
      </c>
      <c r="AE32" s="3" t="inlineStr">
        <is>
          <t>通常の評価として実施している</t>
        </is>
      </c>
      <c r="AF32" s="3" t="inlineStr">
        <is>
          <t>決まっていない</t>
        </is>
      </c>
      <c r="AH32" s="3" t="inlineStr">
        <is>
          <t>患者の状況に応じて評価を実施している</t>
        </is>
      </c>
      <c r="AI32" s="3" t="inlineStr">
        <is>
          <t>下肢筋力強化, バランス練習, 歩行練習, 補助具、装具の適正化, 認知面への介入</t>
        </is>
      </c>
    </row>
    <row r="33" ht="22.5" customHeight="1">
      <c r="A33" s="32" t="n">
        <v>46085.25865501157</v>
      </c>
      <c r="B33" s="3" t="inlineStr">
        <is>
          <t>松尾英明</t>
        </is>
      </c>
      <c r="C33" s="3" t="inlineStr">
        <is>
          <t>福井大学医学部附属病院</t>
        </is>
      </c>
      <c r="D33" s="3" t="inlineStr">
        <is>
          <t>福井県</t>
        </is>
      </c>
      <c r="E33" s="3" t="inlineStr">
        <is>
          <t>hideakim@u-fukui.ac.jp</t>
        </is>
      </c>
      <c r="F33" s="3" t="inlineStr">
        <is>
          <t>リハビリテーション部/理学療法士</t>
        </is>
      </c>
      <c r="G33" s="3" t="n">
        <v>136</v>
      </c>
      <c r="H33" s="3" t="n">
        <v>4</v>
      </c>
      <c r="I33" s="3" t="n">
        <v>2</v>
      </c>
      <c r="J33" s="3" t="inlineStr">
        <is>
          <t>届け出をしておらず、検討もしていない</t>
        </is>
      </c>
      <c r="K33" s="3" t="inlineStr">
        <is>
          <t>関節可動域運動, 筋力増強運動, DVT予防, ポジショニング, 自主運動指導, 術後リハビリテーションのオリエンテーション, 離床（例：車椅子移乗,立位,歩行など）</t>
        </is>
      </c>
      <c r="L33" s="3" t="inlineStr">
        <is>
          <t>全症例の0％〜24％程度</t>
        </is>
      </c>
      <c r="N33" s="3" t="inlineStr">
        <is>
          <t>全症例の0％〜24％程度</t>
        </is>
      </c>
      <c r="P33" s="3" t="inlineStr">
        <is>
          <t>全症例の0％〜24％程度</t>
        </is>
      </c>
      <c r="R33" s="3" t="inlineStr">
        <is>
          <t>全症例の0％〜24％程度</t>
        </is>
      </c>
      <c r="T33" s="3" t="inlineStr">
        <is>
          <t>SPPB, SARC-F</t>
        </is>
      </c>
      <c r="V33" s="3" t="inlineStr">
        <is>
          <t>Kihon Checklist（基本チェックリスト）</t>
        </is>
      </c>
      <c r="X33" s="3" t="inlineStr">
        <is>
          <t>実施していない</t>
        </is>
      </c>
      <c r="Y33" s="3" t="inlineStr">
        <is>
          <t>時間の十分にとれない急性期リハの中で、フレイル、サルコペニアを優先的に評価しているため。</t>
        </is>
      </c>
      <c r="Z33" s="3" t="inlineStr">
        <is>
          <t>FIM</t>
        </is>
      </c>
      <c r="AB33" s="3" t="inlineStr">
        <is>
          <t>HDS-R, AMTS</t>
        </is>
      </c>
      <c r="AD33" s="3" t="inlineStr">
        <is>
          <t>開眼片脚立位時間, 10m歩行速度, Berg Balance Scale（BBS）, SPPB、Functional Reach Test（FRT）, 5回椅子立ち上がりテスト, 深部感覚評価, 認知機能, 注意障害, 遂行機能, せん妄, 転倒恐怖感, 過去の転倒歴, 既往疾患の有無（脳血管疾患、パーキンソン病など）, 薬剤（向精神薬、降圧薬、利尿薬、ポリファーマシーなど）, ベッド周囲および病室環境</t>
        </is>
      </c>
      <c r="AF33" s="3" t="inlineStr">
        <is>
          <t>決まっていない</t>
        </is>
      </c>
      <c r="AH33" s="3" t="inlineStr">
        <is>
          <t>もともとの診療活動として行っているため、FLS活動として改めて決め直していない。</t>
        </is>
      </c>
      <c r="AI33" s="3" t="inlineStr">
        <is>
          <t>下肢筋力強化, バランス練習, 歩行練習, 歩容改善, 起立、着座動作練習, 環境調整, 補助具、装具の適正化, 認知面への介入, 行動面への介入, 薬剤調整, 教育、指導</t>
        </is>
      </c>
    </row>
    <row r="34" ht="22.5" customHeight="1">
      <c r="A34" s="32" t="n">
        <v>46085.50657688658</v>
      </c>
      <c r="B34" s="3" t="inlineStr">
        <is>
          <t>村山智幸</t>
        </is>
      </c>
      <c r="C34" s="3" t="inlineStr">
        <is>
          <t>新潟厚生連　上越総合病院</t>
        </is>
      </c>
      <c r="D34" s="3" t="inlineStr">
        <is>
          <t>新潟県</t>
        </is>
      </c>
      <c r="E34" s="3" t="inlineStr">
        <is>
          <t>murayama-itigo-video1@ezweb.ne.jp</t>
        </is>
      </c>
      <c r="F34" s="3" t="inlineStr">
        <is>
          <t>リハビリテーション科　理学療法士</t>
        </is>
      </c>
      <c r="G34" s="3" t="n">
        <v>137</v>
      </c>
      <c r="H34" s="3" t="n">
        <v>12</v>
      </c>
      <c r="I34" s="3" t="n">
        <v>2</v>
      </c>
      <c r="J34" s="3" t="inlineStr">
        <is>
          <t>届け出はしているが、算定していない</t>
        </is>
      </c>
      <c r="K34" s="3" t="inlineStr">
        <is>
          <t>DVT予防, リラクセーション, ポジショニング, 自主運動指導, 術後リハビリテーションのオリエンテーション</t>
        </is>
      </c>
      <c r="L34" s="3" t="inlineStr">
        <is>
          <t>全症例の0％〜24％程度</t>
        </is>
      </c>
      <c r="N34" s="3" t="inlineStr">
        <is>
          <t>全症例の0％〜24％程度</t>
        </is>
      </c>
      <c r="P34" s="3" t="inlineStr">
        <is>
          <t>全症例の0％〜24％程度</t>
        </is>
      </c>
      <c r="R34" s="3" t="inlineStr">
        <is>
          <t>全症例の0％〜24％程度</t>
        </is>
      </c>
      <c r="T34" s="3" t="inlineStr">
        <is>
          <t>握力, 膝伸展筋力</t>
        </is>
      </c>
      <c r="V34" s="3" t="inlineStr">
        <is>
          <t>TUG, 握力</t>
        </is>
      </c>
      <c r="X34" s="3" t="inlineStr">
        <is>
          <t>立ち上がりテスト</t>
        </is>
      </c>
      <c r="Z34" s="3" t="inlineStr">
        <is>
          <t>Barthel Index（BI）, FIM</t>
        </is>
      </c>
      <c r="AB34" s="3" t="inlineStr">
        <is>
          <t>MMSE, HDS-R</t>
        </is>
      </c>
      <c r="AD34" s="3" t="inlineStr">
        <is>
          <t>定量的な下肢筋力測定, 過去の転倒歴</t>
        </is>
      </c>
      <c r="AF34" s="3" t="inlineStr">
        <is>
          <t>決まっている</t>
        </is>
      </c>
      <c r="AG34" s="3" t="inlineStr">
        <is>
          <t>退院までの期間</t>
        </is>
      </c>
      <c r="AI34" s="3" t="inlineStr">
        <is>
          <t>下肢筋力強化, バランス練習, 歩行練習, 起立、着座動作練習, 環境調整, 補助具、装具の適正化, 認知面への介入</t>
        </is>
      </c>
    </row>
    <row r="35" ht="22.5" customHeight="1">
      <c r="A35" s="32" t="n">
        <v>46085.55249930556</v>
      </c>
      <c r="B35" s="3" t="inlineStr">
        <is>
          <t>藤野　裕美</t>
        </is>
      </c>
      <c r="C35" s="3" t="inlineStr">
        <is>
          <t>独立行政法人国立病院機構　四国こどもとおとなの医療センター</t>
        </is>
      </c>
      <c r="D35" s="3" t="inlineStr">
        <is>
          <t>香川県</t>
        </is>
      </c>
      <c r="E35" s="3" t="inlineStr">
        <is>
          <t>fujino.hiromi.qm@hosp.go.jp</t>
        </is>
      </c>
      <c r="F35" s="3" t="inlineStr">
        <is>
          <t>リハビリテーション科/理学療法士</t>
        </is>
      </c>
      <c r="G35" s="3" t="n">
        <v>215</v>
      </c>
      <c r="H35" s="3" t="n">
        <v>6</v>
      </c>
      <c r="I35" s="3" t="n">
        <v>0</v>
      </c>
      <c r="J35" s="3" t="inlineStr">
        <is>
          <t>届け出をしておらず、検討もしていない</t>
        </is>
      </c>
      <c r="K35" s="3" t="inlineStr">
        <is>
          <t>実施していない</t>
        </is>
      </c>
      <c r="L35" s="3" t="inlineStr">
        <is>
          <t>全症例の0％〜24％程度</t>
        </is>
      </c>
      <c r="N35" s="3" t="inlineStr">
        <is>
          <t>全症例の0％〜24％程度</t>
        </is>
      </c>
      <c r="P35" s="3" t="inlineStr">
        <is>
          <t>全症例の0％〜24％程度</t>
        </is>
      </c>
      <c r="R35" s="3" t="inlineStr">
        <is>
          <t>全症例の0％〜24％程度</t>
        </is>
      </c>
      <c r="T35" s="3" t="inlineStr">
        <is>
          <t>実施していない</t>
        </is>
      </c>
      <c r="U35" s="3" t="inlineStr">
        <is>
          <t>評価を活用できる体制が整っておらず、仕組み作りが今後の課題</t>
        </is>
      </c>
      <c r="V35" s="3" t="inlineStr">
        <is>
          <t>実施していない</t>
        </is>
      </c>
      <c r="W35" s="3" t="inlineStr">
        <is>
          <t>評価を活用できる体制が整っておらず、仕組み作りが今後の課題</t>
        </is>
      </c>
      <c r="X35" s="3" t="inlineStr">
        <is>
          <t>実施していない</t>
        </is>
      </c>
      <c r="Y35" s="3" t="inlineStr">
        <is>
          <t>評価を活用できる体制が整っておらず、仕組み作りが今後の課題</t>
        </is>
      </c>
      <c r="Z35" s="3" t="inlineStr">
        <is>
          <t>Barthel Index（BI）, FIM</t>
        </is>
      </c>
      <c r="AB35" s="3" t="inlineStr">
        <is>
          <t>MMSE, HDS-R</t>
        </is>
      </c>
      <c r="AD35" s="3" t="inlineStr">
        <is>
          <t>定量的な下肢筋力測定, 認知機能, 転倒恐怖感, 過去の転倒歴, ベッド周囲および病室環境</t>
        </is>
      </c>
      <c r="AF35" s="3" t="inlineStr">
        <is>
          <t>決まっていない</t>
        </is>
      </c>
      <c r="AH35" s="3" t="inlineStr">
        <is>
          <t>症状を基準に評価しており、業務フローは未整備である</t>
        </is>
      </c>
      <c r="AI35" s="3" t="inlineStr">
        <is>
          <t>下肢筋力強化, バランス練習, 歩行練習, 歩容改善, 起立、着座動作練習, 環境調整, 補助具、装具の適正化, 教育、指導</t>
        </is>
      </c>
    </row>
    <row r="36" ht="22.5" customHeight="1">
      <c r="A36" s="32" t="n">
        <v>46085.60460253472</v>
      </c>
      <c r="B36" s="3" t="inlineStr">
        <is>
          <t>桒原　慶太</t>
        </is>
      </c>
      <c r="C36" s="3" t="inlineStr">
        <is>
          <t>北里大学メディカルセンター</t>
        </is>
      </c>
      <c r="D36" s="3" t="inlineStr">
        <is>
          <t>埼玉県</t>
        </is>
      </c>
      <c r="E36" s="3" t="inlineStr">
        <is>
          <t>kuwabara@insti.kitasato-u.ac.jp</t>
        </is>
      </c>
      <c r="F36" s="3" t="inlineStr">
        <is>
          <t>リハビリテーションセンター・理学療法士</t>
        </is>
      </c>
      <c r="G36" s="3" t="n">
        <v>98</v>
      </c>
      <c r="H36" s="3" t="n">
        <v>6</v>
      </c>
      <c r="I36" s="3" t="n">
        <v>0</v>
      </c>
      <c r="J36" s="3" t="inlineStr">
        <is>
          <t>届け出をしておらず、検討もしていない</t>
        </is>
      </c>
      <c r="K36" s="3" t="inlineStr">
        <is>
          <t>筋力増強運動, ポジショニング, 自主運動指導</t>
        </is>
      </c>
      <c r="L36" s="3" t="inlineStr">
        <is>
          <t>全症例の0％〜24％程度</t>
        </is>
      </c>
      <c r="N36" s="3" t="inlineStr">
        <is>
          <t>全症例の0％〜24％程度</t>
        </is>
      </c>
      <c r="P36" s="3" t="inlineStr">
        <is>
          <t>全症例の0％〜24％程度</t>
        </is>
      </c>
      <c r="R36" s="3" t="inlineStr">
        <is>
          <t>全症例の0％〜24％程度</t>
        </is>
      </c>
      <c r="T36" s="3" t="inlineStr">
        <is>
          <t>実施していない</t>
        </is>
      </c>
      <c r="U36" s="3" t="inlineStr">
        <is>
          <t>握力、膝伸展筋力など上記の上から8つ目までは歩ける患者の多くで体力構成要素の検査として実施していますが、「サルコペニア」の評価としては実施していません。</t>
        </is>
      </c>
      <c r="V36" s="3" t="inlineStr">
        <is>
          <t>実施していない</t>
        </is>
      </c>
      <c r="W36" s="3" t="inlineStr">
        <is>
          <t>フレイルの評価をする視点がないため（フレイルであっても急性発症した疾病や手術後の影響が大きいためその視点でのアセスメントはできないため）</t>
        </is>
      </c>
      <c r="X36" s="3" t="inlineStr">
        <is>
          <t>実施していない</t>
        </is>
      </c>
      <c r="Y36" s="3" t="inlineStr">
        <is>
          <t>Q11とおなじ理由</t>
        </is>
      </c>
      <c r="Z36" s="3" t="inlineStr">
        <is>
          <t>Barthel Index（BI）, FIM</t>
        </is>
      </c>
      <c r="AB36" s="3" t="inlineStr">
        <is>
          <t>MMSE</t>
        </is>
      </c>
      <c r="AD36" s="3" t="inlineStr">
        <is>
          <t>定量的な下肢筋力測定, 開眼片脚立位時間, TUG, 10m歩行速度, 5回椅子立ち上がりテスト, 認知機能</t>
        </is>
      </c>
      <c r="AF36" s="3" t="inlineStr">
        <is>
          <t>決まっていない</t>
        </is>
      </c>
      <c r="AH36" s="3" t="inlineStr">
        <is>
          <t>日にちではなく、機能状態の改善程度を参考に決めています。</t>
        </is>
      </c>
      <c r="AI36" s="3" t="inlineStr">
        <is>
          <t>下肢筋力強化, バランス練習, 歩行練習, 歩容改善, 環境調整, 補助具、装具の適正化, 教育、指導</t>
        </is>
      </c>
    </row>
    <row r="37" ht="22.5" customHeight="1">
      <c r="A37" s="32" t="n">
        <v>46085.65377942129</v>
      </c>
      <c r="B37" s="3" t="inlineStr">
        <is>
          <t>坂本　大和</t>
        </is>
      </c>
      <c r="C37" s="3" t="inlineStr">
        <is>
          <t>社会医療法人大成会　福岡記念病院</t>
        </is>
      </c>
      <c r="D37" s="3" t="inlineStr">
        <is>
          <t>福岡県</t>
        </is>
      </c>
      <c r="E37" s="3" t="inlineStr">
        <is>
          <t>yappariyoshida@gmail.com</t>
        </is>
      </c>
      <c r="F37" s="3" t="inlineStr">
        <is>
          <t>リハビリテーション科／理学療法士</t>
        </is>
      </c>
      <c r="G37" s="3" t="n">
        <v>225</v>
      </c>
      <c r="H37" s="3" t="n">
        <v>14</v>
      </c>
      <c r="I37" s="3" t="n">
        <v>9</v>
      </c>
      <c r="J37" s="3" t="inlineStr">
        <is>
          <t>届け出をしておらず、検討もしていない</t>
        </is>
      </c>
      <c r="K37" s="3" t="inlineStr">
        <is>
          <t>DVT予防, リラクセーション, ポジショニング, 自主運動指導, 術後リハビリテーションのオリエンテーション, 離床（例：車椅子移乗,立位,歩行など）, 全症例には介入しておらず、入院から手術までの待機期間が長くなるケースのみ術前介入している。</t>
        </is>
      </c>
      <c r="L37" s="3" t="inlineStr">
        <is>
          <t>全症例の25％〜49％程度</t>
        </is>
      </c>
      <c r="N37" s="3" t="inlineStr">
        <is>
          <t>全症例の25％〜49％程度</t>
        </is>
      </c>
      <c r="P37" s="3" t="inlineStr">
        <is>
          <t>全症例の0％〜24％程度</t>
        </is>
      </c>
      <c r="R37" s="3" t="inlineStr">
        <is>
          <t>全症例の0％〜24％程度</t>
        </is>
      </c>
      <c r="T37" s="3" t="inlineStr">
        <is>
          <t>SPPB, 下腿周径, 急性期病院のため、患者が安全に評価できる状況にない。</t>
        </is>
      </c>
      <c r="V37" s="3" t="inlineStr">
        <is>
          <t>認知機能</t>
        </is>
      </c>
      <c r="X37" s="3" t="inlineStr">
        <is>
          <t>実施していない</t>
        </is>
      </c>
      <c r="Y37" s="3" t="inlineStr">
        <is>
          <t>スタッフの認識と知識がない。</t>
        </is>
      </c>
      <c r="Z37" s="3" t="inlineStr">
        <is>
          <t>Barthel Index（BI）</t>
        </is>
      </c>
      <c r="AB37" s="3" t="inlineStr">
        <is>
          <t>MMSE, HDS-R</t>
        </is>
      </c>
      <c r="AD37" s="3" t="inlineStr">
        <is>
          <t>入院前と退院時の屋内、屋外での歩行状況の評価を実施している。</t>
        </is>
      </c>
      <c r="AF37" s="3" t="inlineStr">
        <is>
          <t>決まっている</t>
        </is>
      </c>
      <c r="AG37" s="3" t="inlineStr">
        <is>
          <t>退院前には、評価項目を入力するようになっている。</t>
        </is>
      </c>
      <c r="AI37" s="3" t="inlineStr">
        <is>
          <t>下肢筋力強化, バランス練習, 歩行練習, 歩容改善, 環境調整, 補助具、装具の適正化</t>
        </is>
      </c>
    </row>
    <row r="38" ht="22.5" customHeight="1">
      <c r="A38" s="32" t="n">
        <v>46085.67501829861</v>
      </c>
      <c r="B38" s="3" t="inlineStr">
        <is>
          <t>稲井　勲</t>
        </is>
      </c>
      <c r="C38" s="3" t="inlineStr">
        <is>
          <t>香川県済生会病院</t>
        </is>
      </c>
      <c r="D38" s="3" t="inlineStr">
        <is>
          <t>香川県</t>
        </is>
      </c>
      <c r="E38" s="3" t="inlineStr">
        <is>
          <t>saiseikaikagawa@mf.pikara.ne.jp</t>
        </is>
      </c>
      <c r="F38" s="3" t="inlineStr">
        <is>
          <t>リハビリテーション科理学療法士</t>
        </is>
      </c>
      <c r="G38" s="3" t="n">
        <v>64</v>
      </c>
      <c r="H38" s="3" t="n">
        <v>10</v>
      </c>
      <c r="I38" s="3" t="n">
        <v>8</v>
      </c>
      <c r="J38" s="3" t="inlineStr">
        <is>
          <t>届け出はしていないが、現在検討中である</t>
        </is>
      </c>
      <c r="K38" s="3" t="inlineStr">
        <is>
          <t>実施していない</t>
        </is>
      </c>
      <c r="L38" s="3" t="inlineStr">
        <is>
          <t>全症例の0％〜24％程度</t>
        </is>
      </c>
      <c r="N38" s="3" t="inlineStr">
        <is>
          <t>全症例の0％〜24％程度</t>
        </is>
      </c>
      <c r="P38" s="3" t="inlineStr">
        <is>
          <t>全症例の0％〜24％程度</t>
        </is>
      </c>
      <c r="R38" s="3" t="inlineStr">
        <is>
          <t>全症例の0％〜24％程度</t>
        </is>
      </c>
      <c r="T38" s="3" t="inlineStr">
        <is>
          <t xml:space="preserve">実施していない, </t>
        </is>
      </c>
      <c r="U38" s="3" t="inlineStr">
        <is>
          <t>個人の評価法による</t>
        </is>
      </c>
      <c r="V38" s="3" t="inlineStr">
        <is>
          <t>実施していない</t>
        </is>
      </c>
      <c r="X38" s="3" t="inlineStr">
        <is>
          <t>実施していない</t>
        </is>
      </c>
      <c r="Z38" s="3" t="inlineStr">
        <is>
          <t>FIM</t>
        </is>
      </c>
      <c r="AB38" s="3" t="inlineStr">
        <is>
          <t>MMSE, HDS-R</t>
        </is>
      </c>
      <c r="AD38" s="3" t="inlineStr">
        <is>
          <t>実施していない</t>
        </is>
      </c>
      <c r="AI38" s="3" t="inlineStr">
        <is>
          <t>下肢筋力強化, バランス練習, 歩行練習, 環境調整</t>
        </is>
      </c>
    </row>
    <row r="39" ht="22.5" customHeight="1">
      <c r="A39" s="32" t="n">
        <v>46085.68016346065</v>
      </c>
      <c r="B39" s="3" t="inlineStr">
        <is>
          <t>照屋俊樹</t>
        </is>
      </c>
      <c r="C39" s="3" t="inlineStr">
        <is>
          <t>社会医療法人かりゆし会ハートライフ病院</t>
        </is>
      </c>
      <c r="D39" s="3" t="inlineStr">
        <is>
          <t>沖縄県</t>
        </is>
      </c>
      <c r="E39" s="3" t="inlineStr">
        <is>
          <t>reha@heartlife.or.jp</t>
        </is>
      </c>
      <c r="F39" s="3" t="inlineStr">
        <is>
          <t>リハビリテーション科／理学療法士</t>
        </is>
      </c>
      <c r="G39" s="3" t="n">
        <v>190</v>
      </c>
      <c r="H39" s="3" t="n">
        <v>15</v>
      </c>
      <c r="I39" s="3" t="n">
        <v>5</v>
      </c>
      <c r="J39" s="3" t="inlineStr">
        <is>
          <t>届け出はしていないが、現在検討中である</t>
        </is>
      </c>
      <c r="K39" s="3" t="inlineStr">
        <is>
          <t>関節可動域運動, 筋力増強運動, DVT予防, リラクセーション, ポジショニング, 術後リハビリテーションのオリエンテーション, 離床（例：車椅子移乗,立位,歩行など）</t>
        </is>
      </c>
      <c r="L39" s="3" t="inlineStr">
        <is>
          <t>全症例の50％〜74％程度</t>
        </is>
      </c>
      <c r="M39" s="3" t="inlineStr">
        <is>
          <t>早期離床行い、動作能力を看護師へ報告し、トイレ誘導の依頼を行っている</t>
        </is>
      </c>
      <c r="N39" s="3" t="inlineStr">
        <is>
          <t>全症例の25％〜49％程度</t>
        </is>
      </c>
      <c r="P39" s="3" t="inlineStr">
        <is>
          <t>全症例の25％〜49％程度</t>
        </is>
      </c>
      <c r="R39" s="3" t="inlineStr">
        <is>
          <t>全症例の0％〜24％程度</t>
        </is>
      </c>
      <c r="T39" s="3" t="inlineStr">
        <is>
          <t>実施していない</t>
        </is>
      </c>
      <c r="U39" s="3" t="inlineStr">
        <is>
          <t>動作能力の改善度合いで評価しているため</t>
        </is>
      </c>
      <c r="V39" s="3" t="inlineStr">
        <is>
          <t>実施していない</t>
        </is>
      </c>
      <c r="W39" s="3" t="inlineStr">
        <is>
          <t>動作能力の改善度合いで評価しているため</t>
        </is>
      </c>
      <c r="X39" s="3" t="inlineStr">
        <is>
          <t>立ち上がりテスト</t>
        </is>
      </c>
      <c r="Z39" s="3" t="inlineStr">
        <is>
          <t>FIM</t>
        </is>
      </c>
      <c r="AB39" s="3" t="inlineStr">
        <is>
          <t>MMSE, HDS-R</t>
        </is>
      </c>
      <c r="AD39" s="3" t="inlineStr">
        <is>
          <t>注意障害, せん妄, 過去の転倒歴, 既往疾患の有無（脳血管疾患、パーキンソン病など）, 薬剤（向精神薬、降圧薬、利尿薬、ポリファーマシーなど）, ベッド周囲および病室環境</t>
        </is>
      </c>
      <c r="AF39" s="3" t="inlineStr">
        <is>
          <t>決まっている</t>
        </is>
      </c>
      <c r="AG39" s="3" t="inlineStr">
        <is>
          <t>毎週</t>
        </is>
      </c>
      <c r="AI39" s="3" t="inlineStr">
        <is>
          <t>下肢筋力強化, バランス練習, 歩行練習, 歩容改善, 起立、着座動作練習, 環境調整, 補助具、装具の適正化, 認知面への介入, 行動面への介入, 教育、指導</t>
        </is>
      </c>
    </row>
    <row r="40" ht="22.5" customHeight="1">
      <c r="A40" s="32" t="n">
        <v>46085.70841809027</v>
      </c>
      <c r="B40" s="3" t="inlineStr">
        <is>
          <t>望月弘己</t>
        </is>
      </c>
      <c r="C40" s="3" t="inlineStr">
        <is>
          <t>香芝生喜病院</t>
        </is>
      </c>
      <c r="D40" s="3" t="inlineStr">
        <is>
          <t>奈良県</t>
        </is>
      </c>
      <c r="E40" s="3" t="inlineStr">
        <is>
          <t>mochimochihiromi@gmail.com</t>
        </is>
      </c>
      <c r="F40" s="3" t="inlineStr">
        <is>
          <t>リハビリテーション室　理学療法士</t>
        </is>
      </c>
      <c r="G40" s="3" t="n">
        <v>110</v>
      </c>
      <c r="H40" s="3" t="n">
        <v>11</v>
      </c>
      <c r="I40" s="3" t="n">
        <v>7</v>
      </c>
      <c r="J40" s="3" t="inlineStr">
        <is>
          <t>届け出をしておらず、検討もしていない</t>
        </is>
      </c>
      <c r="K40" s="3" t="inlineStr">
        <is>
          <t>関節可動域運動, 筋力増強運動, ポジショニング, 自主運動指導</t>
        </is>
      </c>
      <c r="L40" s="3" t="inlineStr">
        <is>
          <t>全症例の50％〜74％程度</t>
        </is>
      </c>
      <c r="M40" s="3" t="inlineStr">
        <is>
          <t xml:space="preserve">十分な介助　</t>
        </is>
      </c>
      <c r="N40" s="3" t="inlineStr">
        <is>
          <t>全症例の25％〜49％程度</t>
        </is>
      </c>
      <c r="P40" s="3" t="inlineStr">
        <is>
          <t>全症例の0％〜24％程度</t>
        </is>
      </c>
      <c r="R40" s="3" t="inlineStr">
        <is>
          <t>全症例の0％〜24％程度</t>
        </is>
      </c>
      <c r="T40" s="3" t="inlineStr">
        <is>
          <t>握力, 膝伸展筋力, FIM</t>
        </is>
      </c>
      <c r="V40" s="3" t="inlineStr">
        <is>
          <t>握力</t>
        </is>
      </c>
      <c r="X40" s="3" t="inlineStr">
        <is>
          <t>実施していない</t>
        </is>
      </c>
      <c r="Y40" s="3" t="inlineStr">
        <is>
          <t>知識が不十分</t>
        </is>
      </c>
      <c r="Z40" s="3" t="inlineStr">
        <is>
          <t>FIM</t>
        </is>
      </c>
      <c r="AB40" s="3" t="inlineStr">
        <is>
          <t>MMSE, HDS-R</t>
        </is>
      </c>
      <c r="AD40" s="3" t="inlineStr">
        <is>
          <t>深部感覚評価, 認知機能, 注意障害, せん妄, 転倒恐怖感, 過去の転倒歴</t>
        </is>
      </c>
      <c r="AF40" s="3" t="inlineStr">
        <is>
          <t>決まっていない</t>
        </is>
      </c>
      <c r="AI40" s="3" t="inlineStr">
        <is>
          <t>下肢筋力強化, バランス練習, 歩行練習, 歩容改善, 環境調整, 補助具、装具の適正化, 認知面への介入, 行動面への介入, 教育、指導</t>
        </is>
      </c>
    </row>
    <row r="41" ht="22.5" customHeight="1">
      <c r="A41" s="32" t="n">
        <v>46085.70856622685</v>
      </c>
      <c r="B41" s="3" t="inlineStr">
        <is>
          <t>谷　英幸</t>
        </is>
      </c>
      <c r="C41" s="3" t="inlineStr">
        <is>
          <t>社会医療法人財団　大和会　東大和病院</t>
        </is>
      </c>
      <c r="D41" s="3" t="inlineStr">
        <is>
          <t>東京都</t>
        </is>
      </c>
      <c r="E41" s="3" t="inlineStr">
        <is>
          <t>rehabili@yamatokai.or.jp</t>
        </is>
      </c>
      <c r="F41" s="3" t="inlineStr">
        <is>
          <t>リハビリテーション科／理学療法士</t>
        </is>
      </c>
      <c r="G41" s="3" t="n">
        <v>233</v>
      </c>
      <c r="H41" s="3" t="n">
        <v>9</v>
      </c>
      <c r="I41" s="3" t="n">
        <v>4</v>
      </c>
      <c r="J41" s="3" t="inlineStr">
        <is>
          <t>現在、算定している</t>
        </is>
      </c>
      <c r="K41" s="3" t="inlineStr">
        <is>
          <t>関節可動域運動, 筋力増強運動, DVT予防, リラクセーション, ポジショニング, 自主運動指導, 術後リハビリテーションのオリエンテーション, 離床（例：車椅子移乗,立位,歩行など）</t>
        </is>
      </c>
      <c r="L41" s="3" t="inlineStr">
        <is>
          <t>全症例の0％〜24％程度</t>
        </is>
      </c>
      <c r="N41" s="3" t="inlineStr">
        <is>
          <t>全症例の0％〜24％程度</t>
        </is>
      </c>
      <c r="P41" s="3" t="inlineStr">
        <is>
          <t>全症例の0％〜24％程度</t>
        </is>
      </c>
      <c r="R41" s="3" t="inlineStr">
        <is>
          <t>全症例の0％〜24％程度</t>
        </is>
      </c>
      <c r="T41" s="3" t="inlineStr">
        <is>
          <t>握力, 膝伸展筋力, 開眼片脚立位時間</t>
        </is>
      </c>
      <c r="V41" s="3" t="inlineStr">
        <is>
          <t>認知機能, 握力</t>
        </is>
      </c>
      <c r="X41" s="3" t="inlineStr">
        <is>
          <t>MMT、ROM、ADL評価</t>
        </is>
      </c>
      <c r="Z41" s="3" t="inlineStr">
        <is>
          <t>Barthel Index（BI）</t>
        </is>
      </c>
      <c r="AB41" s="3" t="inlineStr">
        <is>
          <t>MMSE</t>
        </is>
      </c>
      <c r="AD41" s="3" t="inlineStr">
        <is>
          <t>開眼片脚立位時間, 認知機能, 過去の転倒歴, 既往疾患の有無（脳血管疾患、パーキンソン病など）, 薬剤（向精神薬、降圧薬、利尿薬、ポリファーマシーなど）, ベッド周囲および病室環境</t>
        </is>
      </c>
      <c r="AF41" s="3" t="inlineStr">
        <is>
          <t>決まっていない</t>
        </is>
      </c>
      <c r="AH41" s="3" t="inlineStr">
        <is>
          <t>術後ADLに準じて適宜実施している</t>
        </is>
      </c>
      <c r="AI41" s="3" t="inlineStr">
        <is>
          <t>下肢筋力強化, バランス練習, 歩行練習, 歩容改善, 起立、着座動作練習, 環境調整, 補助具、装具の適正化, 認知面への介入, 行動面への介入, 教育、指導</t>
        </is>
      </c>
    </row>
    <row r="42" ht="22.5" customHeight="1">
      <c r="A42" s="32" t="n">
        <v>46085.71790462963</v>
      </c>
      <c r="B42" s="3" t="inlineStr">
        <is>
          <t>山口通孝</t>
        </is>
      </c>
      <c r="C42" s="3" t="inlineStr">
        <is>
          <t>西尾市民病院</t>
        </is>
      </c>
      <c r="D42" s="3" t="inlineStr">
        <is>
          <t>愛知県</t>
        </is>
      </c>
      <c r="E42" s="3" t="inlineStr">
        <is>
          <t>rehabilika@hospital.city.nishio.aichi.jp</t>
        </is>
      </c>
      <c r="G42" s="3" t="n">
        <v>216</v>
      </c>
      <c r="H42" s="3" t="n">
        <v>11</v>
      </c>
      <c r="I42" s="3" t="n">
        <v>3</v>
      </c>
      <c r="J42" s="3" t="inlineStr">
        <is>
          <t>届け出をしておらず、検討もしていない</t>
        </is>
      </c>
      <c r="K42" s="3" t="inlineStr">
        <is>
          <t>実施していない</t>
        </is>
      </c>
      <c r="L42" s="3" t="inlineStr">
        <is>
          <t>全症例の0％〜24％程度</t>
        </is>
      </c>
      <c r="N42" s="3" t="inlineStr">
        <is>
          <t>全症例の0％〜24％程度</t>
        </is>
      </c>
      <c r="P42" s="3" t="inlineStr">
        <is>
          <t>全症例の25％〜49％程度</t>
        </is>
      </c>
      <c r="R42" s="3" t="inlineStr">
        <is>
          <t>全症例の0％〜24％程度</t>
        </is>
      </c>
      <c r="T42" s="3" t="inlineStr">
        <is>
          <t>握力, 膝伸展筋力</t>
        </is>
      </c>
      <c r="V42" s="3" t="inlineStr">
        <is>
          <t>握力</t>
        </is>
      </c>
      <c r="X42" s="3" t="inlineStr">
        <is>
          <t>実施していない</t>
        </is>
      </c>
      <c r="Z42" s="3" t="inlineStr">
        <is>
          <t>FIM</t>
        </is>
      </c>
      <c r="AB42" s="3" t="inlineStr">
        <is>
          <t>HDS-R</t>
        </is>
      </c>
      <c r="AD42" s="3" t="inlineStr">
        <is>
          <t>定量的な下肢筋力測定</t>
        </is>
      </c>
      <c r="AF42" s="3" t="inlineStr">
        <is>
          <t>決まっている</t>
        </is>
      </c>
      <c r="AI42" s="3" t="inlineStr">
        <is>
          <t>下肢筋力強化, バランス練習, 歩行練習, 歩容改善, 起立、着座動作練習, 環境調整, 補助具、装具の適正化, 認知面への介入, 教育、指導</t>
        </is>
      </c>
    </row>
    <row r="43" ht="22.5" customHeight="1">
      <c r="A43" s="32" t="n">
        <v>46085.74239354167</v>
      </c>
      <c r="B43" s="3" t="inlineStr">
        <is>
          <t>野﨑　貴博</t>
        </is>
      </c>
      <c r="C43" s="3" t="inlineStr">
        <is>
          <t>医療法人伴帥会　愛野記念病院</t>
        </is>
      </c>
      <c r="D43" s="3" t="inlineStr">
        <is>
          <t>長崎県</t>
        </is>
      </c>
      <c r="E43" s="3" t="inlineStr">
        <is>
          <t>aino-reha@ainomhp.jp</t>
        </is>
      </c>
      <c r="F43" s="3" t="inlineStr">
        <is>
          <t>リハビリテーション部／理学療法士</t>
        </is>
      </c>
      <c r="G43" s="3" t="n">
        <v>60</v>
      </c>
      <c r="H43" s="3" t="n">
        <v>29</v>
      </c>
      <c r="I43" s="3" t="n">
        <v>8</v>
      </c>
      <c r="J43" s="3" t="inlineStr">
        <is>
          <t>現在、算定している</t>
        </is>
      </c>
      <c r="K43" s="3" t="inlineStr">
        <is>
          <t>関節可動域運動, 筋力増強運動, DVT予防, リラクセーション, ポジショニング, 自主運動指導, 術後リハビリテーションのオリエンテーション</t>
        </is>
      </c>
      <c r="L43" s="3" t="inlineStr">
        <is>
          <t>全症例の25％〜49％程度</t>
        </is>
      </c>
      <c r="N43" s="3" t="inlineStr">
        <is>
          <t>全症例の0％〜24％程度</t>
        </is>
      </c>
      <c r="P43" s="3" t="inlineStr">
        <is>
          <t>全症例の0％〜24％程度</t>
        </is>
      </c>
      <c r="R43" s="3" t="inlineStr">
        <is>
          <t>全症例の0％〜24％程度</t>
        </is>
      </c>
      <c r="T43" s="3" t="inlineStr">
        <is>
          <t>握力, 5回椅子立ち上がりテスト, 歩行速度, TUG, 開眼片脚立位時間</t>
        </is>
      </c>
      <c r="V43" s="3" t="inlineStr">
        <is>
          <t>J-CHS基準, TUG, 握力</t>
        </is>
      </c>
      <c r="X43" s="3" t="inlineStr">
        <is>
          <t>立ち上がりテスト, 2ステップテスト</t>
        </is>
      </c>
      <c r="Z43" s="3" t="inlineStr">
        <is>
          <t>Barthel Index（BI）, FIM</t>
        </is>
      </c>
      <c r="AB43" s="3" t="inlineStr">
        <is>
          <t>HDS-R</t>
        </is>
      </c>
      <c r="AD43" s="3" t="inlineStr">
        <is>
          <t>認知機能, 注意障害, せん妄, 過去の転倒歴, 既往疾患の有無（脳血管疾患、パーキンソン病など）, ベッド周囲および病室環境</t>
        </is>
      </c>
      <c r="AF43" s="3" t="inlineStr">
        <is>
          <t>決まっている</t>
        </is>
      </c>
      <c r="AG43" s="3" t="inlineStr">
        <is>
          <t>1日目</t>
        </is>
      </c>
      <c r="AI43" s="3" t="inlineStr">
        <is>
          <t>下肢筋力強化, バランス練習, 歩行練習, 起立、着座動作練習, 環境調整, 補助具、装具の適正化, 教育、指導</t>
        </is>
      </c>
    </row>
    <row r="44" ht="22.5" customHeight="1">
      <c r="A44" s="32" t="n">
        <v>46085.75742767361</v>
      </c>
      <c r="B44" s="3" t="inlineStr">
        <is>
          <t>永井　健太</t>
        </is>
      </c>
      <c r="C44" s="3" t="inlineStr">
        <is>
          <t>社会医療法人栄公会　佐野記念病院</t>
        </is>
      </c>
      <c r="D44" s="3" t="inlineStr">
        <is>
          <t>大阪府</t>
        </is>
      </c>
      <c r="E44" s="3" t="inlineStr">
        <is>
          <t>k_nagai@sanokinen.jp</t>
        </is>
      </c>
      <c r="F44" s="3" t="inlineStr">
        <is>
          <t>リハビリテーション部</t>
        </is>
      </c>
      <c r="G44" s="3" t="n">
        <v>242</v>
      </c>
      <c r="H44" s="3" t="n">
        <v>39</v>
      </c>
      <c r="I44" s="3" t="n">
        <v>22</v>
      </c>
      <c r="J44" s="3" t="inlineStr">
        <is>
          <t>届け出はしていないが、現在検討中である</t>
        </is>
      </c>
      <c r="K44" s="3" t="inlineStr">
        <is>
          <t>関節可動域運動, 筋力増強運動, DVT予防, リラクセーション, ポジショニング, 自主運動指導, 術後リハビリテーションのオリエンテーション, 離床（例：車椅子移乗,立位,歩行など）</t>
        </is>
      </c>
      <c r="L44" s="3" t="inlineStr">
        <is>
          <t>全症例の0％〜24％程度</t>
        </is>
      </c>
      <c r="N44" s="3" t="inlineStr">
        <is>
          <t>全症例の0％〜24％程度</t>
        </is>
      </c>
      <c r="P44" s="3" t="inlineStr">
        <is>
          <t>全症例の0％〜24％程度</t>
        </is>
      </c>
      <c r="R44" s="3" t="inlineStr">
        <is>
          <t>全症例の0％〜24％程度</t>
        </is>
      </c>
      <c r="T44" s="3" t="inlineStr">
        <is>
          <t>握力, 膝伸展筋力, 5回椅子立ち上がりテスト, 歩行速度, TUG, 開眼片脚立位時間, 骨格筋量指数（SMI）</t>
        </is>
      </c>
      <c r="V44" s="3" t="inlineStr">
        <is>
          <t>TUG, 認知機能, 握力</t>
        </is>
      </c>
      <c r="X44" s="3" t="inlineStr">
        <is>
          <t>立ち上がりテスト</t>
        </is>
      </c>
      <c r="Z44" s="3" t="inlineStr">
        <is>
          <t>Barthel Index（BI）, FIM</t>
        </is>
      </c>
      <c r="AB44" s="3" t="inlineStr">
        <is>
          <t>MMSE, HDS-R, MoCA</t>
        </is>
      </c>
      <c r="AD44" s="3" t="inlineStr">
        <is>
          <t>定量的な下肢筋力測定, 開眼片脚立位時間, TUG, 10m歩行速度, Berg Balance Scale（BBS）, 5回椅子立ち上がりテスト, 認知機能, 注意障害, せん妄, 転倒恐怖感, 過去の転倒歴, 既往疾患の有無（脳血管疾患、パーキンソン病など）, ベッド周囲および病室環境</t>
        </is>
      </c>
      <c r="AF44" s="3" t="inlineStr">
        <is>
          <t>決まっている</t>
        </is>
      </c>
      <c r="AG44" s="3" t="inlineStr">
        <is>
          <t>術後２週間後、退院時</t>
        </is>
      </c>
      <c r="AI44" s="3" t="inlineStr">
        <is>
          <t>下肢筋力強化, バランス練習, 歩行練習, 歩容改善, 起立、着座動作練習, 環境調整, 補助具、装具の適正化, 認知面への介入, 行動面への介入, 教育、指導</t>
        </is>
      </c>
    </row>
    <row r="45" ht="22.5" customHeight="1">
      <c r="A45" s="32" t="n">
        <v>46085.76971116898</v>
      </c>
      <c r="B45" s="3" t="inlineStr">
        <is>
          <t>鷺池　一幸</t>
        </is>
      </c>
      <c r="C45" s="3" t="inlineStr">
        <is>
          <t>独立行政法人国立病院機構　相模原病院</t>
        </is>
      </c>
      <c r="D45" s="3" t="inlineStr">
        <is>
          <t>神奈川県</t>
        </is>
      </c>
      <c r="E45" s="3" t="inlineStr">
        <is>
          <t>sagiike.kazuyuki.ka@mail.hosp.go.jp</t>
        </is>
      </c>
      <c r="F45" s="3" t="inlineStr">
        <is>
          <t>理学療法士</t>
        </is>
      </c>
      <c r="G45" s="3" t="n">
        <v>159</v>
      </c>
      <c r="H45" s="3" t="n">
        <v>11</v>
      </c>
      <c r="I45" s="3" t="n">
        <v>7</v>
      </c>
      <c r="J45" s="3" t="inlineStr">
        <is>
          <t>届け出をしておらず、検討もしていない</t>
        </is>
      </c>
      <c r="K45" s="3" t="inlineStr">
        <is>
          <t>関節可動域運動, 筋力増強運動, 呼吸リハビリテーション, リラクセーション, ポジショニング, 自主運動指導, 術後リハビリテーションのオリエンテーション</t>
        </is>
      </c>
      <c r="L45" s="3" t="inlineStr">
        <is>
          <t>全症例の75％〜100％程度</t>
        </is>
      </c>
      <c r="M45" s="3" t="inlineStr">
        <is>
          <t>早期介入</t>
        </is>
      </c>
      <c r="N45" s="3" t="inlineStr">
        <is>
          <t>全症例の25％〜49％程度</t>
        </is>
      </c>
      <c r="P45" s="3" t="inlineStr">
        <is>
          <t>全症例の25％〜49％程度</t>
        </is>
      </c>
      <c r="R45" s="3" t="inlineStr">
        <is>
          <t>全症例の25％〜49％程度</t>
        </is>
      </c>
      <c r="T45" s="3" t="inlineStr">
        <is>
          <t>実施していない</t>
        </is>
      </c>
      <c r="U45" s="3" t="inlineStr">
        <is>
          <t>マンパワー不足のため介入時間が取れていない。</t>
        </is>
      </c>
      <c r="V45" s="3" t="inlineStr">
        <is>
          <t>実施していない</t>
        </is>
      </c>
      <c r="W45" s="3" t="inlineStr">
        <is>
          <t>マンパワー不足のため介入時間が取れていない。</t>
        </is>
      </c>
      <c r="X45" s="3" t="inlineStr">
        <is>
          <t>実施していない</t>
        </is>
      </c>
      <c r="Y45" s="3" t="inlineStr">
        <is>
          <t>マンパワー不足のため介入時間が取れていない。</t>
        </is>
      </c>
      <c r="Z45" s="3" t="inlineStr">
        <is>
          <t>Barthel Index（BI）</t>
        </is>
      </c>
      <c r="AB45" s="3" t="inlineStr">
        <is>
          <t>実施していない</t>
        </is>
      </c>
      <c r="AC45" s="3" t="inlineStr">
        <is>
          <t>マンパワー不足のため介入時間が取れていない。</t>
        </is>
      </c>
      <c r="AD45" s="3" t="inlineStr">
        <is>
          <t>ベッド周囲および病室環境</t>
        </is>
      </c>
      <c r="AF45" s="3" t="inlineStr">
        <is>
          <t>決まっていない</t>
        </is>
      </c>
      <c r="AI45" s="3" t="inlineStr">
        <is>
          <t>下肢筋力強化, バランス練習, 歩行練習, 歩容改善, 起立、着座動作練習, 環境調整, 教育、指導</t>
        </is>
      </c>
    </row>
    <row r="46" ht="22.5" customHeight="1">
      <c r="A46" s="32" t="n">
        <v>46085.77214520834</v>
      </c>
      <c r="B46" s="3" t="inlineStr">
        <is>
          <t>河合卓哉</t>
        </is>
      </c>
      <c r="C46" s="3" t="inlineStr">
        <is>
          <t>医療法人藤井会　大東中央病院</t>
        </is>
      </c>
      <c r="D46" s="3" t="inlineStr">
        <is>
          <t>大阪府</t>
        </is>
      </c>
      <c r="E46" s="3" t="inlineStr">
        <is>
          <t>daitoreha.fujiikai@gmail.com</t>
        </is>
      </c>
      <c r="F46" s="3" t="inlineStr">
        <is>
          <t>リハビリテーション室/理学療法士</t>
        </is>
      </c>
      <c r="G46" s="3" t="n">
        <v>150</v>
      </c>
      <c r="H46" s="3" t="n">
        <v>8</v>
      </c>
      <c r="I46" s="3" t="n">
        <v>0</v>
      </c>
      <c r="J46" s="3" t="inlineStr">
        <is>
          <t>届け出をしておらず、検討もしていない</t>
        </is>
      </c>
      <c r="K46" s="3" t="inlineStr">
        <is>
          <t>関節可動域運動, 筋力増強運動, DVT予防, リラクセーション, ポジショニング, 自主運動指導, 術後リハビリテーションのオリエンテーション</t>
        </is>
      </c>
      <c r="L46" s="3" t="inlineStr">
        <is>
          <t>全症例の0％〜24％程度</t>
        </is>
      </c>
      <c r="N46" s="3" t="inlineStr">
        <is>
          <t>全症例の0％〜24％程度</t>
        </is>
      </c>
      <c r="P46" s="3" t="inlineStr">
        <is>
          <t>全症例の0％〜24％程度</t>
        </is>
      </c>
      <c r="R46" s="3" t="inlineStr">
        <is>
          <t>全症例の0％〜24％程度</t>
        </is>
      </c>
      <c r="T46" s="3" t="inlineStr">
        <is>
          <t>実施していない</t>
        </is>
      </c>
      <c r="U46" s="3" t="inlineStr">
        <is>
          <t>急性期であり、疼痛や筋力低下等が強く評価実施が困難なため。</t>
        </is>
      </c>
      <c r="V46" s="3" t="inlineStr">
        <is>
          <t>実施していない</t>
        </is>
      </c>
      <c r="W46" s="3" t="inlineStr">
        <is>
          <t>急性期であり、疼痛や筋力低下等が強く評価実施が困難なため。</t>
        </is>
      </c>
      <c r="X46" s="3" t="inlineStr">
        <is>
          <t>実施していない</t>
        </is>
      </c>
      <c r="Y46" s="3" t="inlineStr">
        <is>
          <t>急性期であり、疼痛や筋力低下等が強く評価実施が困難なため。</t>
        </is>
      </c>
      <c r="Z46" s="3" t="inlineStr">
        <is>
          <t>FIM</t>
        </is>
      </c>
      <c r="AB46" s="3" t="inlineStr">
        <is>
          <t>HDS-R</t>
        </is>
      </c>
      <c r="AD46" s="3" t="inlineStr">
        <is>
          <t>実施していない</t>
        </is>
      </c>
      <c r="AI46" s="3" t="inlineStr">
        <is>
          <t>下肢筋力強化, 起立、着座動作練習, 環境調整, 教育、指導</t>
        </is>
      </c>
    </row>
    <row r="47" ht="22.5" customHeight="1">
      <c r="A47" s="32" t="n">
        <v>46086.56694697917</v>
      </c>
      <c r="B47" s="3" t="inlineStr">
        <is>
          <t>國分　隆行</t>
        </is>
      </c>
      <c r="C47" s="3" t="inlineStr">
        <is>
          <t>社会医療法人恵仁会くろさわ病院</t>
        </is>
      </c>
      <c r="D47" s="3" t="inlineStr">
        <is>
          <t>長野県</t>
        </is>
      </c>
      <c r="E47" s="3" t="inlineStr">
        <is>
          <t>k1260@keijinnet.or.jp</t>
        </is>
      </c>
      <c r="F47" s="3" t="inlineStr">
        <is>
          <t>リハビリテーションセンター／理学療法士</t>
        </is>
      </c>
      <c r="G47" s="3" t="n">
        <v>89</v>
      </c>
      <c r="H47" s="3" t="n">
        <v>20</v>
      </c>
      <c r="I47" s="3" t="n">
        <v>10</v>
      </c>
      <c r="J47" s="3" t="inlineStr">
        <is>
          <t>届け出をしておらず、検討もしていない</t>
        </is>
      </c>
      <c r="K47" s="3" t="inlineStr">
        <is>
          <t>関節可動域運動, 筋力増強運動, DVT予防, リラクセーション, ポジショニング, 術後リハビリテーションのオリエンテーション</t>
        </is>
      </c>
      <c r="L47" s="3" t="inlineStr">
        <is>
          <t>全症例の25％〜49％程度</t>
        </is>
      </c>
      <c r="N47" s="3" t="inlineStr">
        <is>
          <t>全症例の50％〜74％程度</t>
        </is>
      </c>
      <c r="P47" s="3" t="inlineStr">
        <is>
          <t>全症例の0％〜24％程度</t>
        </is>
      </c>
      <c r="R47" s="3" t="inlineStr">
        <is>
          <t>全症例の0％〜24％程度</t>
        </is>
      </c>
      <c r="T47" s="3" t="inlineStr">
        <is>
          <t>TUG, 下腿周径</t>
        </is>
      </c>
      <c r="V47" s="3" t="inlineStr">
        <is>
          <t>TUG</t>
        </is>
      </c>
      <c r="X47" s="3" t="inlineStr">
        <is>
          <t>実施していない</t>
        </is>
      </c>
      <c r="Y47" s="3" t="inlineStr">
        <is>
          <t>必要性を感じていない</t>
        </is>
      </c>
      <c r="Z47" s="3" t="inlineStr">
        <is>
          <t>Barthel Index（BI）, FIM</t>
        </is>
      </c>
      <c r="AB47" s="3" t="inlineStr">
        <is>
          <t>MMSE, HDS-R, MoCA</t>
        </is>
      </c>
      <c r="AD47" s="3" t="inlineStr">
        <is>
          <t>TUG, 認知機能</t>
        </is>
      </c>
      <c r="AF47" s="3" t="inlineStr">
        <is>
          <t>決まっている</t>
        </is>
      </c>
      <c r="AG47" s="3" t="inlineStr">
        <is>
          <t>術後14日、30日、90日、120日、365日</t>
        </is>
      </c>
      <c r="AI47" s="3" t="inlineStr">
        <is>
          <t>下肢筋力強化, バランス練習, 歩行練習, 歩容改善, 起立、着座動作練習, 環境調整, 補助具、装具の適正化, 認知面への介入, 行動面への介入, 教育、指導</t>
        </is>
      </c>
    </row>
    <row r="48" ht="22.5" customHeight="1">
      <c r="A48" s="32" t="n">
        <v>46086.65174525463</v>
      </c>
      <c r="B48" s="3" t="inlineStr">
        <is>
          <t>青柳秀和</t>
        </is>
      </c>
      <c r="C48" s="3" t="inlineStr">
        <is>
          <t>八潮中央総合病院</t>
        </is>
      </c>
      <c r="D48" s="3" t="inlineStr">
        <is>
          <t>埼玉県</t>
        </is>
      </c>
      <c r="E48" s="3" t="inlineStr">
        <is>
          <t>hidekazu.aoyagi@yashio-cgh.jp</t>
        </is>
      </c>
      <c r="F48" s="3" t="inlineStr">
        <is>
          <t>リハビリテーション科/理学療法士</t>
        </is>
      </c>
      <c r="G48" s="3" t="n">
        <v>80</v>
      </c>
      <c r="H48" s="3" t="n">
        <v>17</v>
      </c>
      <c r="I48" s="3" t="n">
        <v>8</v>
      </c>
      <c r="J48" s="3" t="inlineStr">
        <is>
          <t>届け出はしていないが、現在検討中である</t>
        </is>
      </c>
      <c r="K48" s="3" t="inlineStr">
        <is>
          <t>関節可動域運動, 筋力増強運動, 呼吸リハビリテーション, DVT予防, リラクセーション, ポジショニング, 自主運動指導</t>
        </is>
      </c>
      <c r="L48" s="3" t="inlineStr">
        <is>
          <t>全症例の25％〜49％程度</t>
        </is>
      </c>
      <c r="N48" s="3" t="inlineStr">
        <is>
          <t>全症例の0％〜24％程度</t>
        </is>
      </c>
      <c r="P48" s="3" t="inlineStr">
        <is>
          <t>全症例の0％〜24％程度</t>
        </is>
      </c>
      <c r="R48" s="3" t="inlineStr">
        <is>
          <t>全症例の0％〜24％程度</t>
        </is>
      </c>
      <c r="T48" s="3" t="inlineStr">
        <is>
          <t>歩行速度, TUG, 開眼片脚立位時間</t>
        </is>
      </c>
      <c r="V48" s="3" t="inlineStr">
        <is>
          <t>TUG, 認知機能</t>
        </is>
      </c>
      <c r="X48" s="3" t="inlineStr">
        <is>
          <t>実施していない</t>
        </is>
      </c>
      <c r="Y48" s="3" t="inlineStr">
        <is>
          <t>現場の教育、体制整備ができていないため。</t>
        </is>
      </c>
      <c r="Z48" s="3" t="inlineStr">
        <is>
          <t>Barthel Index（BI）</t>
        </is>
      </c>
      <c r="AB48" s="3" t="inlineStr">
        <is>
          <t>MMSE, AMTS</t>
        </is>
      </c>
      <c r="AD48" s="3" t="inlineStr">
        <is>
          <t>Berg Balance Scale（BBS）</t>
        </is>
      </c>
      <c r="AF48" s="3" t="inlineStr">
        <is>
          <t>決まっている</t>
        </is>
      </c>
      <c r="AG48" s="3" t="inlineStr">
        <is>
          <t>退院前日</t>
        </is>
      </c>
      <c r="AI48" s="3" t="inlineStr">
        <is>
          <t>下肢筋力強化, バランス練習, 歩行練習, 歩容改善, 起立、着座動作練習, 環境調整, 補助具、装具の適正化, 認知面への介入, 行動面への介入, 教育、指導</t>
        </is>
      </c>
    </row>
    <row r="49" ht="22.5" customHeight="1">
      <c r="A49" s="32" t="n">
        <v>46086.73619740741</v>
      </c>
      <c r="B49" s="3" t="inlineStr">
        <is>
          <t>滝口孝彦</t>
        </is>
      </c>
      <c r="C49" s="3" t="inlineStr">
        <is>
          <t>公立学校共済組合　東北中央病院</t>
        </is>
      </c>
      <c r="D49" s="3" t="inlineStr">
        <is>
          <t>山形県</t>
        </is>
      </c>
      <c r="E49" s="3" t="inlineStr">
        <is>
          <t>rihabiri@tohoku-ctr-hsp.com</t>
        </is>
      </c>
      <c r="G49" s="3" t="n">
        <v>91</v>
      </c>
      <c r="H49" s="3" t="n">
        <v>12</v>
      </c>
      <c r="I49" s="3" t="n">
        <v>2</v>
      </c>
      <c r="J49" s="3" t="inlineStr">
        <is>
          <t>届け出をしておらず、検討もしていない</t>
        </is>
      </c>
      <c r="K49" s="3" t="inlineStr">
        <is>
          <t>関節可動域運動, 筋力増強運動, 自主運動指導, 術後リハビリテーションのオリエンテーション</t>
        </is>
      </c>
      <c r="L49" s="3" t="inlineStr">
        <is>
          <t>全症例の25％〜49％程度</t>
        </is>
      </c>
      <c r="M49" s="3" t="inlineStr">
        <is>
          <t>術前のオリエンテーションと早期介入</t>
        </is>
      </c>
      <c r="N49" s="3" t="inlineStr">
        <is>
          <t>全症例の0％〜24％程度</t>
        </is>
      </c>
      <c r="P49" s="3" t="inlineStr">
        <is>
          <t>全症例の0％〜24％程度</t>
        </is>
      </c>
      <c r="R49" s="3" t="inlineStr">
        <is>
          <t>全症例の0％〜24％程度</t>
        </is>
      </c>
      <c r="T49" s="3" t="inlineStr">
        <is>
          <t>握力, 膝伸展筋力</t>
        </is>
      </c>
      <c r="V49" s="3" t="inlineStr">
        <is>
          <t>認知機能, 握力</t>
        </is>
      </c>
      <c r="X49" s="3" t="inlineStr">
        <is>
          <t>実施していない</t>
        </is>
      </c>
      <c r="Y49" s="3" t="inlineStr">
        <is>
          <t>ケースによって実施</t>
        </is>
      </c>
      <c r="Z49" s="3" t="inlineStr">
        <is>
          <t>FIM</t>
        </is>
      </c>
      <c r="AB49" s="3" t="inlineStr">
        <is>
          <t>実施していない</t>
        </is>
      </c>
      <c r="AC49" s="3" t="inlineStr">
        <is>
          <t>心理療法士に依頼</t>
        </is>
      </c>
      <c r="AD49" s="3" t="inlineStr">
        <is>
          <t>10m歩行速度, 深部感覚評価, 認知機能, 過去の転倒歴, 既往疾患の有無（脳血管疾患、パーキンソン病など）</t>
        </is>
      </c>
      <c r="AF49" s="3" t="inlineStr">
        <is>
          <t>決まっていない</t>
        </is>
      </c>
      <c r="AH49" s="3" t="inlineStr">
        <is>
          <t>ケースによる</t>
        </is>
      </c>
      <c r="AI49" s="3" t="inlineStr">
        <is>
          <t>下肢筋力強化, バランス練習, 歩行練習, 歩容改善, 起立、着座動作練習, 環境調整, 補助具、装具の適正化</t>
        </is>
      </c>
    </row>
    <row r="50" ht="22.5" customHeight="1">
      <c r="A50" s="32" t="n">
        <v>46086.76688695602</v>
      </c>
      <c r="B50" s="3" t="inlineStr">
        <is>
          <t>伊藤　佳歩</t>
        </is>
      </c>
      <c r="C50" s="3" t="inlineStr">
        <is>
          <t>医療法人法美宝　総合青山病院</t>
        </is>
      </c>
      <c r="D50" s="3" t="inlineStr">
        <is>
          <t>愛知県</t>
        </is>
      </c>
      <c r="E50" s="3" t="inlineStr">
        <is>
          <t>r1682702@sc.sozo.ac.jp</t>
        </is>
      </c>
      <c r="F50" s="3" t="inlineStr">
        <is>
          <t>リハビリテーション技術室/理学療法士</t>
        </is>
      </c>
      <c r="G50" s="3" t="n">
        <v>20</v>
      </c>
      <c r="H50" s="3" t="n">
        <v>16</v>
      </c>
      <c r="I50" s="3" t="n">
        <v>6</v>
      </c>
      <c r="J50" s="3" t="inlineStr">
        <is>
          <t>現在、算定している</t>
        </is>
      </c>
      <c r="K50" s="3" t="inlineStr">
        <is>
          <t>関節可動域運動, 筋力増強運動, DVT予防, ポジショニング, 自主運動指導, 術後リハビリテーションのオリエンテーション, 離床（例：車椅子移乗,立位,歩行など）</t>
        </is>
      </c>
      <c r="L50" s="3" t="inlineStr">
        <is>
          <t>全症例の0％〜24％程度</t>
        </is>
      </c>
      <c r="N50" s="3" t="inlineStr">
        <is>
          <t>全症例の25％〜49％程度</t>
        </is>
      </c>
      <c r="P50" s="3" t="inlineStr">
        <is>
          <t>全症例の50％〜74％程度</t>
        </is>
      </c>
      <c r="Q50" s="3" t="inlineStr">
        <is>
          <t>廃用予防、DVT予防</t>
        </is>
      </c>
      <c r="R50" s="3" t="inlineStr">
        <is>
          <t>全症例の0％〜24％程度</t>
        </is>
      </c>
      <c r="T50" s="3" t="inlineStr">
        <is>
          <t>下腿周径</t>
        </is>
      </c>
      <c r="V50" s="3" t="inlineStr">
        <is>
          <t>実施していない</t>
        </is>
      </c>
      <c r="W50" s="3" t="inlineStr">
        <is>
          <t>評価→リハビリの体制が構築されていない
個々のリハビリに委ねられている</t>
        </is>
      </c>
      <c r="X50" s="3" t="inlineStr">
        <is>
          <t>実施していない</t>
        </is>
      </c>
      <c r="Y50" s="3" t="inlineStr">
        <is>
          <t>評価→リハビリの体制が構築されていない
個々のリハビリに委ねられている</t>
        </is>
      </c>
      <c r="Z50" s="3" t="inlineStr">
        <is>
          <t>Barthel Index（BI）, FIM</t>
        </is>
      </c>
      <c r="AB50" s="3" t="inlineStr">
        <is>
          <t>MMSE, HDS-R</t>
        </is>
      </c>
      <c r="AD50" s="3" t="inlineStr">
        <is>
          <t>5回椅子立ち上がりテスト, 認知機能, 転倒恐怖感, 過去の転倒歴, 既往疾患の有無（脳血管疾患、パーキンソン病など）</t>
        </is>
      </c>
      <c r="AF50" s="3" t="inlineStr">
        <is>
          <t>わからない</t>
        </is>
      </c>
      <c r="AI50" s="3" t="inlineStr">
        <is>
          <t>下肢筋力強化, バランス練習, 歩行練習, 歩容改善, 起立、着座動作練習, 環境調整, 補助具、装具の適正化, 行動面への介入, 薬剤調整, 教育、指導</t>
        </is>
      </c>
    </row>
    <row r="51" ht="22.5" customHeight="1">
      <c r="A51" s="32" t="n">
        <v>46086.78863920139</v>
      </c>
      <c r="B51" s="3" t="inlineStr">
        <is>
          <t>水野理惠</t>
        </is>
      </c>
      <c r="C51" s="3" t="inlineStr">
        <is>
          <t>横浜市立みなと赤十字病院</t>
        </is>
      </c>
      <c r="D51" s="3" t="inlineStr">
        <is>
          <t>神奈川県</t>
        </is>
      </c>
      <c r="E51" s="3" t="inlineStr">
        <is>
          <t>r-mizuno.pj@yokohama.jrc.or.jp</t>
        </is>
      </c>
      <c r="F51" s="3" t="inlineStr">
        <is>
          <t>リハビリテーション科　理学療法士</t>
        </is>
      </c>
      <c r="G51" s="3" t="n">
        <v>175</v>
      </c>
      <c r="H51" s="3" t="n">
        <v>21</v>
      </c>
      <c r="I51" s="3" t="n">
        <v>10</v>
      </c>
      <c r="J51" s="3" t="inlineStr">
        <is>
          <t>届け出はしていないが、現在検討中である</t>
        </is>
      </c>
      <c r="K51" s="3" t="inlineStr">
        <is>
          <t>関節可動域運動, 筋力増強運動, DVT予防, ポジショニング, 自主運動指導, 術後リハビリテーションのオリエンテーション</t>
        </is>
      </c>
      <c r="L51" s="3" t="inlineStr">
        <is>
          <t>全症例の75％〜100％程度</t>
        </is>
      </c>
      <c r="M51" s="3" t="inlineStr">
        <is>
          <t>全身状態を確認の上、安静度の制限がない限り手術翌日離床を予定や目標にしているため。</t>
        </is>
      </c>
      <c r="N51" s="3" t="inlineStr">
        <is>
          <t>全症例の0％〜24％程度</t>
        </is>
      </c>
      <c r="P51" s="3" t="inlineStr">
        <is>
          <t>全症例の0％〜24％程度</t>
        </is>
      </c>
      <c r="R51" s="3" t="inlineStr">
        <is>
          <t>全症例の0％〜24％程度</t>
        </is>
      </c>
      <c r="T51" s="3" t="inlineStr">
        <is>
          <t>握力</t>
        </is>
      </c>
      <c r="V51" s="3" t="inlineStr">
        <is>
          <t>握力</t>
        </is>
      </c>
      <c r="X51" s="3" t="inlineStr">
        <is>
          <t>実施していない</t>
        </is>
      </c>
      <c r="Y51" s="3" t="inlineStr">
        <is>
          <t>術後10日前後で転院となるため、機能的に困難なケースが多いため。</t>
        </is>
      </c>
      <c r="Z51" s="3" t="inlineStr">
        <is>
          <t>Barthel Index（BI）</t>
        </is>
      </c>
      <c r="AB51" s="3" t="inlineStr">
        <is>
          <t>MMSE, AMTS</t>
        </is>
      </c>
      <c r="AD51" s="3" t="inlineStr">
        <is>
          <t>認知機能</t>
        </is>
      </c>
      <c r="AF51" s="3" t="inlineStr">
        <is>
          <t>決まっている</t>
        </is>
      </c>
      <c r="AG51" s="3" t="inlineStr">
        <is>
          <t>術後10日</t>
        </is>
      </c>
      <c r="AI51" s="3" t="inlineStr">
        <is>
          <t>下肢筋力強化, バランス練習, 歩行練習, 起立、着座動作練習, 補助具、装具の適正化</t>
        </is>
      </c>
    </row>
    <row r="52" ht="22.5" customHeight="1">
      <c r="A52" s="32" t="n">
        <v>46087.30131903935</v>
      </c>
      <c r="B52" s="3" t="inlineStr">
        <is>
          <t>和田　真明</t>
        </is>
      </c>
      <c r="C52" s="3" t="inlineStr">
        <is>
          <t>三田市民病院</t>
        </is>
      </c>
      <c r="D52" s="3" t="inlineStr">
        <is>
          <t>兵庫県</t>
        </is>
      </c>
      <c r="E52" s="3" t="inlineStr">
        <is>
          <t>wdmsk214@gmail.com</t>
        </is>
      </c>
      <c r="F52" s="3" t="inlineStr">
        <is>
          <t>リハビリテーション科／理学療法士</t>
        </is>
      </c>
      <c r="G52" s="3" t="n">
        <v>205</v>
      </c>
      <c r="H52" s="3" t="n">
        <v>12</v>
      </c>
      <c r="I52" s="3" t="n">
        <v>5</v>
      </c>
      <c r="J52" s="3" t="inlineStr">
        <is>
          <t>届け出はしていないが、現在検討中である</t>
        </is>
      </c>
      <c r="K52" s="3" t="inlineStr">
        <is>
          <t>関節可動域運動, 筋力増強運動, 呼吸リハビリテーション, リラクセーション, 術後リハビリテーションのオリエンテーション</t>
        </is>
      </c>
      <c r="L52" s="3" t="inlineStr">
        <is>
          <t>全症例の50％〜74％程度</t>
        </is>
      </c>
      <c r="M52" s="3" t="inlineStr">
        <is>
          <t>リラクゼーションやポジショニング、服薬コントロールなどを実施しています</t>
        </is>
      </c>
      <c r="N52" s="3" t="inlineStr">
        <is>
          <t>全症例の0％〜24％程度</t>
        </is>
      </c>
      <c r="P52" s="3" t="inlineStr">
        <is>
          <t>全症例の0％〜24％程度</t>
        </is>
      </c>
      <c r="R52" s="3" t="inlineStr">
        <is>
          <t>全症例の0％〜24％程度</t>
        </is>
      </c>
      <c r="T52" s="3" t="inlineStr">
        <is>
          <t>握力, 5回椅子立ち上がりテスト, 歩行速度, SPPB, 下腿周径</t>
        </is>
      </c>
      <c r="V52" s="3" t="inlineStr">
        <is>
          <t>握力</t>
        </is>
      </c>
      <c r="X52" s="3" t="inlineStr">
        <is>
          <t>実施していない</t>
        </is>
      </c>
      <c r="Y52" s="3" t="inlineStr">
        <is>
          <t>サルコペニア　フレイル評価をしているため</t>
        </is>
      </c>
      <c r="Z52" s="3" t="inlineStr">
        <is>
          <t>Barthel Index（BI）</t>
        </is>
      </c>
      <c r="AB52" s="3" t="inlineStr">
        <is>
          <t>MMSE</t>
        </is>
      </c>
      <c r="AD52" s="3" t="inlineStr">
        <is>
          <t>5回椅子立ち上がりテスト, 転倒リスク評価表（厚生労働省）</t>
        </is>
      </c>
      <c r="AF52" s="3" t="inlineStr">
        <is>
          <t>決まっている</t>
        </is>
      </c>
      <c r="AG52" s="3" t="inlineStr">
        <is>
          <t>退院前日</t>
        </is>
      </c>
      <c r="AI52" s="3" t="inlineStr">
        <is>
          <t>下肢筋力強化, バランス練習, 歩行練習, 歩容改善, 起立、着座動作練習, 環境調整, 補助具、装具の適正化, 認知面への介入, 教育、指導</t>
        </is>
      </c>
    </row>
    <row r="53" ht="22.5" customHeight="1">
      <c r="A53" s="32" t="n">
        <v>46087.39023673611</v>
      </c>
      <c r="B53" s="3" t="inlineStr">
        <is>
          <t>阿部寛子</t>
        </is>
      </c>
      <c r="C53" s="3" t="inlineStr">
        <is>
          <t>大館市立総合病院</t>
        </is>
      </c>
      <c r="D53" s="3" t="inlineStr">
        <is>
          <t>秋田県</t>
        </is>
      </c>
      <c r="E53" s="3" t="inlineStr">
        <is>
          <t>hirori09073234721@gmail.com</t>
        </is>
      </c>
      <c r="F53" s="3" t="inlineStr">
        <is>
          <t>リハビリテーション科/理学療法士</t>
        </is>
      </c>
      <c r="G53" s="3" t="n">
        <v>97</v>
      </c>
      <c r="H53" s="3" t="n">
        <v>12</v>
      </c>
      <c r="I53" s="3" t="n">
        <v>2</v>
      </c>
      <c r="J53" s="3" t="inlineStr">
        <is>
          <t>届け出をしておらず、検討もしていない</t>
        </is>
      </c>
      <c r="K53" s="3" t="inlineStr">
        <is>
          <t>筋力増強運動, 認知評価</t>
        </is>
      </c>
      <c r="L53" s="3" t="inlineStr">
        <is>
          <t>全症例の50％〜74％程度</t>
        </is>
      </c>
      <c r="M53" s="3" t="inlineStr">
        <is>
          <t>疼痛コントロール</t>
        </is>
      </c>
      <c r="N53" s="3" t="inlineStr">
        <is>
          <t>全症例の25％〜49％程度</t>
        </is>
      </c>
      <c r="P53" s="3" t="inlineStr">
        <is>
          <t>全症例の0％〜24％程度</t>
        </is>
      </c>
      <c r="R53" s="3" t="inlineStr">
        <is>
          <t>全症例の0％〜24％程度</t>
        </is>
      </c>
      <c r="T53" s="3" t="inlineStr">
        <is>
          <t>握力, 5回椅子立ち上がりテスト, 歩行速度, SPPB</t>
        </is>
      </c>
      <c r="V53" s="3" t="inlineStr">
        <is>
          <t>握力</t>
        </is>
      </c>
      <c r="X53" s="3" t="inlineStr">
        <is>
          <t>立ち上がりテスト, 2ステップテスト</t>
        </is>
      </c>
      <c r="Z53" s="3" t="inlineStr">
        <is>
          <t>Barthel Index（BI）</t>
        </is>
      </c>
      <c r="AB53" s="3" t="inlineStr">
        <is>
          <t>AMTS</t>
        </is>
      </c>
      <c r="AD53" s="3" t="inlineStr">
        <is>
          <t>SPPB、Functional Reach Test（FRT）, 5回椅子立ち上がりテスト, 転倒恐怖感</t>
        </is>
      </c>
      <c r="AF53" s="3" t="inlineStr">
        <is>
          <t>決まっている</t>
        </is>
      </c>
      <c r="AG53" s="3" t="inlineStr">
        <is>
          <t>30日、120日、180日、365日</t>
        </is>
      </c>
      <c r="AI53" s="3" t="inlineStr">
        <is>
          <t>下肢筋力強化, バランス練習, 歩行練習, 補助具、装具の適正化, 教育、指導</t>
        </is>
      </c>
    </row>
    <row r="54" ht="22.5" customHeight="1">
      <c r="A54" s="32" t="n">
        <v>46087.53489275463</v>
      </c>
      <c r="B54" s="3" t="inlineStr">
        <is>
          <t>加藤　望</t>
        </is>
      </c>
      <c r="C54" s="3" t="inlineStr">
        <is>
          <t>青森労災病院</t>
        </is>
      </c>
      <c r="D54" s="3" t="inlineStr">
        <is>
          <t>青森県</t>
        </is>
      </c>
      <c r="E54" s="3" t="inlineStr">
        <is>
          <t>rihaka@aomorih.johas.go.jp</t>
        </is>
      </c>
      <c r="G54" s="3" t="n">
        <v>55</v>
      </c>
      <c r="H54" s="3" t="n">
        <v>14</v>
      </c>
      <c r="I54" s="3" t="n">
        <v>0</v>
      </c>
      <c r="J54" s="3" t="inlineStr">
        <is>
          <t>届け出をしておらず、検討もしていない</t>
        </is>
      </c>
      <c r="K54" s="3" t="inlineStr">
        <is>
          <t>関節可動域運動, 筋力増強運動, DVT予防, リラクセーション, ポジショニング, 自主運動指導, 術後リハビリテーションのオリエンテーション</t>
        </is>
      </c>
      <c r="L54" s="3" t="inlineStr">
        <is>
          <t>全症例の50％〜74％程度</t>
        </is>
      </c>
      <c r="N54" s="3" t="inlineStr">
        <is>
          <t>全症例の50％〜74％程度</t>
        </is>
      </c>
      <c r="P54" s="3" t="inlineStr">
        <is>
          <t>全症例の0％〜24％程度</t>
        </is>
      </c>
      <c r="R54" s="3" t="inlineStr">
        <is>
          <t>全症例の0％〜24％程度</t>
        </is>
      </c>
      <c r="T54" s="3" t="inlineStr">
        <is>
          <t>膝伸展筋力, TUG, 下腿周径</t>
        </is>
      </c>
      <c r="V54" s="3" t="inlineStr">
        <is>
          <t>実施していない</t>
        </is>
      </c>
      <c r="X54" s="3" t="inlineStr">
        <is>
          <t>実施していない</t>
        </is>
      </c>
      <c r="Z54" s="3" t="inlineStr">
        <is>
          <t>FIM</t>
        </is>
      </c>
      <c r="AB54" s="3" t="inlineStr">
        <is>
          <t>実施していない</t>
        </is>
      </c>
      <c r="AC54" s="3" t="inlineStr">
        <is>
          <t>臨床心理士が実施しているため</t>
        </is>
      </c>
      <c r="AD54" s="3" t="inlineStr">
        <is>
          <t>実施していない</t>
        </is>
      </c>
      <c r="AI54" s="3" t="inlineStr">
        <is>
          <t>下肢筋力強化, バランス練習, 歩行練習, 歩容改善, 起立、着座動作練習, 環境調整, 補助具、装具の適正化, 認知面への介入, 行動面への介入, 教育、指導</t>
        </is>
      </c>
    </row>
    <row r="55" ht="22.5" customHeight="1">
      <c r="A55" s="32" t="n">
        <v>46087.58701421296</v>
      </c>
      <c r="B55" s="3" t="inlineStr">
        <is>
          <t>後藤田　晶</t>
        </is>
      </c>
      <c r="C55" s="3" t="inlineStr">
        <is>
          <t>吉野川医療センター</t>
        </is>
      </c>
      <c r="D55" s="3" t="inlineStr">
        <is>
          <t>徳島県</t>
        </is>
      </c>
      <c r="E55" s="3" t="inlineStr">
        <is>
          <t>seikeiope@ja-ymc.jp</t>
        </is>
      </c>
      <c r="F55" s="3" t="inlineStr">
        <is>
          <t>リハビリテーション科/理学療法士</t>
        </is>
      </c>
      <c r="G55" s="3" t="n">
        <v>289</v>
      </c>
      <c r="H55" s="3" t="n">
        <v>10</v>
      </c>
      <c r="I55" s="3" t="n">
        <v>4</v>
      </c>
      <c r="J55" s="3" t="inlineStr">
        <is>
          <t>届け出はしていないが、現在検討中である</t>
        </is>
      </c>
      <c r="K55" s="3" t="inlineStr">
        <is>
          <t>関節可動域運動, 筋力増強運動, DVT予防, リラクセーション, ポジショニング, 自主運動指導, 術後リハビリテーションのオリエンテーション</t>
        </is>
      </c>
      <c r="L55" s="3" t="inlineStr">
        <is>
          <t>全症例の0％〜24％程度</t>
        </is>
      </c>
      <c r="N55" s="3" t="inlineStr">
        <is>
          <t>全症例の0％〜24％程度</t>
        </is>
      </c>
      <c r="P55" s="3" t="inlineStr">
        <is>
          <t>全症例の0％〜24％程度</t>
        </is>
      </c>
      <c r="R55" s="3" t="inlineStr">
        <is>
          <t>全症例の0％〜24％程度</t>
        </is>
      </c>
      <c r="T55" s="3" t="inlineStr">
        <is>
          <t>開眼片脚立位時間, 下腿周径</t>
        </is>
      </c>
      <c r="V55" s="3" t="inlineStr">
        <is>
          <t>認知機能</t>
        </is>
      </c>
      <c r="X55" s="3" t="inlineStr">
        <is>
          <t>立ち上がりテスト</t>
        </is>
      </c>
      <c r="Z55" s="3" t="inlineStr">
        <is>
          <t>Barthel Index（BI）, FIM</t>
        </is>
      </c>
      <c r="AB55" s="3" t="inlineStr">
        <is>
          <t>HDS-R</t>
        </is>
      </c>
      <c r="AD55" s="3" t="inlineStr">
        <is>
          <t>定量的な下肢筋力測定, 10m歩行速度</t>
        </is>
      </c>
      <c r="AF55" s="3" t="inlineStr">
        <is>
          <t>決まっている</t>
        </is>
      </c>
      <c r="AG55" s="3" t="inlineStr">
        <is>
          <t>術後14日目</t>
        </is>
      </c>
      <c r="AI55" s="3" t="inlineStr">
        <is>
          <t>下肢筋力強化, バランス練習, 歩行練習, 歩容改善, 認知面への介入, 行動面への介入, 教育、指導</t>
        </is>
      </c>
    </row>
    <row r="56" ht="22.5" customHeight="1">
      <c r="A56" s="32" t="n">
        <v>46087.77507324074</v>
      </c>
      <c r="B56" s="3" t="inlineStr">
        <is>
          <t>守屋大輔</t>
        </is>
      </c>
      <c r="C56" s="3" t="inlineStr">
        <is>
          <t>佐野厚生総合病院</t>
        </is>
      </c>
      <c r="D56" s="3" t="inlineStr">
        <is>
          <t>栃木県</t>
        </is>
      </c>
      <c r="E56" s="3" t="inlineStr">
        <is>
          <t>reha@jasanoko.or.jp</t>
        </is>
      </c>
      <c r="F56" s="3" t="inlineStr">
        <is>
          <t>リハビリテーション科／理学療法士</t>
        </is>
      </c>
      <c r="G56" s="3" t="n">
        <v>167</v>
      </c>
      <c r="H56" s="3" t="n">
        <v>5</v>
      </c>
      <c r="I56" s="3" t="n">
        <v>0</v>
      </c>
      <c r="J56" s="3" t="inlineStr">
        <is>
          <t>届け出はしていないが、現在検討中である</t>
        </is>
      </c>
      <c r="K56" s="3" t="inlineStr">
        <is>
          <t>関節可動域運動, 筋力増強運動, DVT予防, リラクセーション, ポジショニング, 自主運動指導, 術後リハビリテーションのオリエンテーション</t>
        </is>
      </c>
      <c r="L56" s="3" t="inlineStr">
        <is>
          <t>全症例の0％〜24％程度</t>
        </is>
      </c>
      <c r="N56" s="3" t="inlineStr">
        <is>
          <t>全症例の0％〜24％程度</t>
        </is>
      </c>
      <c r="P56" s="3" t="inlineStr">
        <is>
          <t>全症例の0％〜24％程度</t>
        </is>
      </c>
      <c r="R56" s="3" t="inlineStr">
        <is>
          <t>全症例の0％〜24％程度</t>
        </is>
      </c>
      <c r="T56" s="3" t="inlineStr">
        <is>
          <t>握力, 開眼片脚立位時間, 骨格筋量指数（SMI）, 下腿周径</t>
        </is>
      </c>
      <c r="V56" s="3" t="inlineStr">
        <is>
          <t>認知機能, 握力</t>
        </is>
      </c>
      <c r="X56" s="3" t="inlineStr">
        <is>
          <t>立ち上がりテスト, 2ステップテスト</t>
        </is>
      </c>
      <c r="Z56" s="3" t="inlineStr">
        <is>
          <t>FIM</t>
        </is>
      </c>
      <c r="AB56" s="3" t="inlineStr">
        <is>
          <t>HDS-R</t>
        </is>
      </c>
      <c r="AD56" s="3" t="inlineStr">
        <is>
          <t>開眼片脚立位時間, 認知機能</t>
        </is>
      </c>
      <c r="AF56" s="3" t="inlineStr">
        <is>
          <t>決まっていない</t>
        </is>
      </c>
      <c r="AH56" s="3" t="inlineStr">
        <is>
          <t>術後2週間以内にとしており、疼痛など患者によりかなり違いがあるため、何日目とはしていないではばをもたせている</t>
        </is>
      </c>
      <c r="AI56" s="3" t="inlineStr">
        <is>
          <t>下肢筋力強化, バランス練習, 歩行練習, 歩容改善, 起立、着座動作練習, 環境調整, 補助具、装具の適正化, 認知面への介入, 行動面への介入, 薬剤調整, 教育、指導</t>
        </is>
      </c>
    </row>
    <row r="57" ht="22.5" customHeight="1">
      <c r="A57" s="32" t="n">
        <v>46087.77836141203</v>
      </c>
      <c r="B57" s="3" t="inlineStr">
        <is>
          <t>山口　和久</t>
        </is>
      </c>
      <c r="C57" s="3" t="inlineStr">
        <is>
          <t>国家公務員共済組合連合会　横浜栄共済病院</t>
        </is>
      </c>
      <c r="D57" s="3" t="inlineStr">
        <is>
          <t>神奈川県</t>
        </is>
      </c>
      <c r="E57" s="3" t="inlineStr">
        <is>
          <t>r4-retion@yokohamasakae.jp</t>
        </is>
      </c>
      <c r="F57" s="3" t="inlineStr">
        <is>
          <t>リハビリテーション科／理学療法士</t>
        </is>
      </c>
      <c r="G57" s="3" t="n">
        <v>180</v>
      </c>
      <c r="H57" s="3" t="n">
        <v>12</v>
      </c>
      <c r="I57" s="3" t="n">
        <v>0</v>
      </c>
      <c r="J57" s="3" t="inlineStr">
        <is>
          <t>届け出をしておらず、検討もしていない</t>
        </is>
      </c>
      <c r="K57" s="3" t="inlineStr">
        <is>
          <t>関節可動域運動, 筋力増強運動, DVT予防, ポジショニング, 自主運動指導, 術後リハビリテーションのオリエンテーション</t>
        </is>
      </c>
      <c r="L57" s="3" t="inlineStr">
        <is>
          <t>全症例の25％〜49％程度</t>
        </is>
      </c>
      <c r="N57" s="3" t="inlineStr">
        <is>
          <t>全症例の0％〜24％程度</t>
        </is>
      </c>
      <c r="P57" s="3" t="inlineStr">
        <is>
          <t>全症例の0％〜24％程度</t>
        </is>
      </c>
      <c r="R57" s="3" t="inlineStr">
        <is>
          <t>全症例の0％〜24％程度</t>
        </is>
      </c>
      <c r="T57" s="3" t="inlineStr">
        <is>
          <t>握力, 膝伸展筋力</t>
        </is>
      </c>
      <c r="V57" s="3" t="inlineStr">
        <is>
          <t>握力</t>
        </is>
      </c>
      <c r="X57" s="3" t="inlineStr">
        <is>
          <t>実施していない</t>
        </is>
      </c>
      <c r="Y57" s="3" t="inlineStr">
        <is>
          <t>ロコモ評価は、急性期術後の患者（約２週間程度の入院期間）で実施するには内容が難しい</t>
        </is>
      </c>
      <c r="Z57" s="3" t="inlineStr">
        <is>
          <t>Barthel Index（BI）</t>
        </is>
      </c>
      <c r="AB57" s="3" t="inlineStr">
        <is>
          <t>実施していない</t>
        </is>
      </c>
      <c r="AC57" s="3" t="inlineStr">
        <is>
          <t>業務分担しており、当院では臨床心理師がAMTSの評価を担当している</t>
        </is>
      </c>
      <c r="AD57" s="3" t="inlineStr">
        <is>
          <t>定量的な下肢筋力測定, 深部感覚評価, 認知機能, 転倒恐怖感, 既往疾患の有無（脳血管疾患、パーキンソン病など）</t>
        </is>
      </c>
      <c r="AF57" s="3" t="inlineStr">
        <is>
          <t>決まっていない</t>
        </is>
      </c>
      <c r="AH57" s="3" t="inlineStr">
        <is>
          <t>決まっていない理由は特にありません。特別事前にルールも設けてはいません。
ただし、全ての評価を同日日に実施する事が時間的に制約を受けることはあります。</t>
        </is>
      </c>
      <c r="AI57" s="3" t="inlineStr">
        <is>
          <t>下肢筋力強化, 歩行練習, 歩容改善, 起立、着座動作練習, 補助具、装具の適正化, 教育、指導</t>
        </is>
      </c>
    </row>
    <row r="58" ht="22.5" customHeight="1">
      <c r="A58" s="32" t="n">
        <v>46087.79874030092</v>
      </c>
      <c r="B58" s="3" t="inlineStr">
        <is>
          <t>稲垣忍</t>
        </is>
      </c>
      <c r="C58" s="3" t="inlineStr">
        <is>
          <t xml:space="preserve">桑名市総合医療センター　</t>
        </is>
      </c>
      <c r="D58" s="3" t="inlineStr">
        <is>
          <t>三重県</t>
        </is>
      </c>
      <c r="E58" s="3" t="inlineStr">
        <is>
          <t>pt.inaketsu@gmail.com</t>
        </is>
      </c>
      <c r="F58" s="3" t="inlineStr">
        <is>
          <t>リハビリテーション室　理学療法士</t>
        </is>
      </c>
      <c r="G58" s="3" t="n">
        <v>126</v>
      </c>
      <c r="H58" s="3" t="n">
        <v>1</v>
      </c>
      <c r="I58" s="3" t="n">
        <v>1</v>
      </c>
      <c r="J58" s="3" t="inlineStr">
        <is>
          <t>届け出をしておらず、検討もしていない</t>
        </is>
      </c>
      <c r="K58" s="3" t="inlineStr">
        <is>
          <t>実施していない</t>
        </is>
      </c>
      <c r="L58" s="3" t="inlineStr">
        <is>
          <t>全症例の50％〜74％程度</t>
        </is>
      </c>
      <c r="N58" s="3" t="inlineStr">
        <is>
          <t>全症例の0％〜24％程度</t>
        </is>
      </c>
      <c r="P58" s="3" t="inlineStr">
        <is>
          <t>全症例の0％〜24％程度</t>
        </is>
      </c>
      <c r="R58" s="3" t="inlineStr">
        <is>
          <t>全症例の0％〜24％程度</t>
        </is>
      </c>
      <c r="T58" s="3" t="inlineStr">
        <is>
          <t>実施していない</t>
        </is>
      </c>
      <c r="V58" s="3" t="inlineStr">
        <is>
          <t>実施していない</t>
        </is>
      </c>
      <c r="X58" s="3" t="inlineStr">
        <is>
          <t>実施していない</t>
        </is>
      </c>
      <c r="Z58" s="3" t="inlineStr">
        <is>
          <t>FIM</t>
        </is>
      </c>
      <c r="AB58" s="3" t="inlineStr">
        <is>
          <t>MMSE, HDS-R</t>
        </is>
      </c>
      <c r="AD58" s="3" t="inlineStr">
        <is>
          <t>実施していない</t>
        </is>
      </c>
      <c r="AI58" s="3" t="inlineStr">
        <is>
          <t>下肢筋力強化, バランス練習, 歩行練習, 歩容改善, 起立、着座動作練習, 環境調整, 補助具、装具の適正化</t>
        </is>
      </c>
    </row>
    <row r="59" ht="22.5" customHeight="1">
      <c r="A59" s="32" t="n">
        <v>46087.81656150463</v>
      </c>
      <c r="B59" s="3" t="inlineStr">
        <is>
          <t>口石智秀</t>
        </is>
      </c>
      <c r="C59" s="3" t="inlineStr">
        <is>
          <t>国立病院機構熊本再春医療センター</t>
        </is>
      </c>
      <c r="D59" s="3" t="inlineStr">
        <is>
          <t>熊本県</t>
        </is>
      </c>
      <c r="E59" s="3" t="inlineStr">
        <is>
          <t>kuchiishi.tomohide.ct@mail.hosp.go.jp</t>
        </is>
      </c>
      <c r="F59" s="3" t="inlineStr">
        <is>
          <t>リハビリテーション科/理学療法士</t>
        </is>
      </c>
      <c r="G59" s="3" t="n">
        <v>90</v>
      </c>
      <c r="H59" s="3" t="n">
        <v>11</v>
      </c>
      <c r="I59" s="3" t="n">
        <v>0</v>
      </c>
      <c r="J59" s="3" t="inlineStr">
        <is>
          <t>届け出をしておらず、検討もしていない</t>
        </is>
      </c>
      <c r="K59" s="3" t="inlineStr">
        <is>
          <t>筋力増強運動, 術後リハビリテーションのオリエンテーション</t>
        </is>
      </c>
      <c r="L59" s="3" t="inlineStr">
        <is>
          <t>全症例の0％〜24％程度</t>
        </is>
      </c>
      <c r="N59" s="3" t="inlineStr">
        <is>
          <t>全症例の0％〜24％程度</t>
        </is>
      </c>
      <c r="P59" s="3" t="inlineStr">
        <is>
          <t>全症例の0％〜24％程度</t>
        </is>
      </c>
      <c r="R59" s="3" t="inlineStr">
        <is>
          <t>全症例の0％〜24％程度</t>
        </is>
      </c>
      <c r="T59" s="3" t="inlineStr">
        <is>
          <t>握力, 膝伸展筋力, 歩行速度, TUG, 開眼片脚立位時間</t>
        </is>
      </c>
      <c r="V59" s="3" t="inlineStr">
        <is>
          <t>TUG, 握力</t>
        </is>
      </c>
      <c r="X59" s="3" t="inlineStr">
        <is>
          <t>実施していない</t>
        </is>
      </c>
      <c r="Z59" s="3" t="inlineStr">
        <is>
          <t>Barthel Index（BI）, FIM</t>
        </is>
      </c>
      <c r="AB59" s="3" t="inlineStr">
        <is>
          <t>MMSE, HDS-R, MoCA</t>
        </is>
      </c>
      <c r="AD59" s="3" t="inlineStr">
        <is>
          <t>10m歩行速度</t>
        </is>
      </c>
      <c r="AF59" s="3" t="inlineStr">
        <is>
          <t>決まっていない</t>
        </is>
      </c>
      <c r="AI59" s="3" t="inlineStr">
        <is>
          <t>下肢筋力強化, バランス練習, 歩行練習, 起立、着座動作練習, 環境調整, 補助具、装具の適正化, 教育、指導</t>
        </is>
      </c>
    </row>
    <row r="60" ht="22.5" customHeight="1">
      <c r="A60" s="32" t="n">
        <v>46087.86737604166</v>
      </c>
      <c r="B60" s="3" t="inlineStr">
        <is>
          <t>尾崎　泰</t>
        </is>
      </c>
      <c r="C60" s="3" t="inlineStr">
        <is>
          <t>大阪府済生会中津病院</t>
        </is>
      </c>
      <c r="D60" s="3" t="inlineStr">
        <is>
          <t>大阪府</t>
        </is>
      </c>
      <c r="E60" s="3" t="inlineStr">
        <is>
          <t>y_ozaki@nakatsu.saiseikai.or.jp</t>
        </is>
      </c>
      <c r="F60" s="3" t="inlineStr">
        <is>
          <t>リハビリテーション技術部/理学療法士</t>
        </is>
      </c>
      <c r="G60" s="3" t="n">
        <v>104</v>
      </c>
      <c r="H60" s="3" t="n">
        <v>14</v>
      </c>
      <c r="I60" s="3" t="n">
        <v>3</v>
      </c>
      <c r="J60" s="3" t="inlineStr">
        <is>
          <t>現在、算定している</t>
        </is>
      </c>
      <c r="K60" s="3" t="inlineStr">
        <is>
          <t>実施していない</t>
        </is>
      </c>
      <c r="L60" s="3" t="inlineStr">
        <is>
          <t>全症例の0％〜24％程度</t>
        </is>
      </c>
      <c r="N60" s="3" t="inlineStr">
        <is>
          <t>全症例の25％〜49％程度</t>
        </is>
      </c>
      <c r="P60" s="3" t="inlineStr">
        <is>
          <t>全症例の0％〜24％程度</t>
        </is>
      </c>
      <c r="R60" s="3" t="inlineStr">
        <is>
          <t>全症例の0％〜24％程度</t>
        </is>
      </c>
      <c r="T60" s="3" t="inlineStr">
        <is>
          <t>握力, 5回椅子立ち上がりテスト</t>
        </is>
      </c>
      <c r="V60" s="3" t="inlineStr">
        <is>
          <t>握力</t>
        </is>
      </c>
      <c r="X60" s="3" t="inlineStr">
        <is>
          <t>立ち上がりテスト, 2ステップテスト</t>
        </is>
      </c>
      <c r="Z60" s="3" t="inlineStr">
        <is>
          <t>Barthel Index（BI）</t>
        </is>
      </c>
      <c r="AB60" s="3" t="inlineStr">
        <is>
          <t>HDS-R</t>
        </is>
      </c>
      <c r="AD60" s="3" t="inlineStr">
        <is>
          <t>実施していない</t>
        </is>
      </c>
      <c r="AE60" s="3" t="inlineStr">
        <is>
          <t>あえて、決まった評価は実施していない。必要性に応じて個別で実施。</t>
        </is>
      </c>
      <c r="AI60" s="3" t="inlineStr">
        <is>
          <t>下肢筋力強化, バランス練習, 歩行練習, 環境調整, 教育、指導</t>
        </is>
      </c>
    </row>
    <row r="61" ht="22.5" customHeight="1">
      <c r="A61" s="32" t="n">
        <v>46087.96954336805</v>
      </c>
      <c r="B61" s="3" t="inlineStr">
        <is>
          <t>坂口知義</t>
        </is>
      </c>
      <c r="C61" s="3" t="inlineStr">
        <is>
          <t>岡山労災病院</t>
        </is>
      </c>
      <c r="D61" s="3" t="inlineStr">
        <is>
          <t>岡山県</t>
        </is>
      </c>
      <c r="E61" s="3" t="inlineStr">
        <is>
          <t>tomoyoshi0127@gmail.com</t>
        </is>
      </c>
      <c r="F61" s="3" t="inlineStr">
        <is>
          <t>中央リハビリテーション部／理学療法士</t>
        </is>
      </c>
      <c r="G61" s="3" t="n">
        <v>20</v>
      </c>
      <c r="H61" s="3" t="n">
        <v>14</v>
      </c>
      <c r="I61" s="3" t="n">
        <v>3</v>
      </c>
      <c r="J61" s="3" t="inlineStr">
        <is>
          <t>届け出はしていないが、現在検討中である</t>
        </is>
      </c>
      <c r="K61" s="3" t="inlineStr">
        <is>
          <t>関節可動域運動, 筋力増強運動, 呼吸リハビリテーション, DVT予防, ポジショニング, 術後リハビリテーションのオリエンテーション</t>
        </is>
      </c>
      <c r="L61" s="3" t="inlineStr">
        <is>
          <t>全症例の50％〜74％程度</t>
        </is>
      </c>
      <c r="M61" s="3" t="inlineStr">
        <is>
          <t>痛みが落ち着けば二日目より歩けるので、翌日は端座位までで、急いで進めていないです。</t>
        </is>
      </c>
      <c r="N61" s="3" t="inlineStr">
        <is>
          <t>全症例の25％〜49％程度</t>
        </is>
      </c>
      <c r="P61" s="3" t="inlineStr">
        <is>
          <t>全症例の0％〜24％程度</t>
        </is>
      </c>
      <c r="R61" s="3" t="inlineStr">
        <is>
          <t>全症例の0％〜24％程度</t>
        </is>
      </c>
      <c r="T61" s="3" t="inlineStr">
        <is>
          <t>5回椅子立ち上がりテスト, 歩行速度, TUG, 開眼片脚立位時間</t>
        </is>
      </c>
      <c r="V61" s="3" t="inlineStr">
        <is>
          <t>TUG</t>
        </is>
      </c>
      <c r="X61" s="3" t="inlineStr">
        <is>
          <t>実施していない</t>
        </is>
      </c>
      <c r="Z61" s="3" t="inlineStr">
        <is>
          <t>Barthel Index（BI）, FIM</t>
        </is>
      </c>
      <c r="AB61" s="3" t="inlineStr">
        <is>
          <t>MMSE, HDS-R</t>
        </is>
      </c>
      <c r="AD61" s="3" t="inlineStr">
        <is>
          <t>開眼片脚立位時間, TUG, 10m歩行速度, 5回椅子立ち上がりテスト</t>
        </is>
      </c>
      <c r="AF61" s="3" t="inlineStr">
        <is>
          <t>決まっていない</t>
        </is>
      </c>
      <c r="AH61" s="3" t="inlineStr">
        <is>
          <t>病棟の安静度を決める際に評価するため、日にちは個人差があり決めてない。</t>
        </is>
      </c>
      <c r="AI61" s="3" t="inlineStr">
        <is>
          <t>下肢筋力強化, バランス練習, 歩行練習, 起立、着座動作練習</t>
        </is>
      </c>
    </row>
    <row r="62" ht="22.5" customHeight="1">
      <c r="A62" s="32" t="n">
        <v>46088.32868657407</v>
      </c>
      <c r="B62" s="3" t="inlineStr">
        <is>
          <t>吉川　祐樹</t>
        </is>
      </c>
      <c r="C62" s="3" t="inlineStr">
        <is>
          <t>北海道社会事業協会帯広病院</t>
        </is>
      </c>
      <c r="D62" s="3" t="inlineStr">
        <is>
          <t>北海道</t>
        </is>
      </c>
      <c r="E62" s="3" t="inlineStr">
        <is>
          <t>y-kichikawa@obihiro-kyokai-hsp.jp</t>
        </is>
      </c>
      <c r="F62" s="3" t="inlineStr">
        <is>
          <t>リハビリテーション科／理学療法士</t>
        </is>
      </c>
      <c r="G62" s="3" t="n">
        <v>49</v>
      </c>
      <c r="H62" s="3" t="n">
        <v>9</v>
      </c>
      <c r="I62" s="3" t="n">
        <v>3</v>
      </c>
      <c r="J62" s="3" t="inlineStr">
        <is>
          <t>届け出をしておらず、検討もしていない</t>
        </is>
      </c>
      <c r="K62" s="3" t="inlineStr">
        <is>
          <t>関節可動域運動, 筋力増強運動, 呼吸リハビリテーション, リラクセーション, ポジショニング, 術後リハビリテーションのオリエンテーション</t>
        </is>
      </c>
      <c r="L62" s="3" t="inlineStr">
        <is>
          <t>全症例の50％〜74％程度</t>
        </is>
      </c>
      <c r="M62" s="3" t="inlineStr">
        <is>
          <t>炎症、腫脹管理、リラクセーション、ポジショニング</t>
        </is>
      </c>
      <c r="N62" s="3" t="inlineStr">
        <is>
          <t>全症例の0％〜24％程度</t>
        </is>
      </c>
      <c r="P62" s="3" t="inlineStr">
        <is>
          <t>全症例の0％〜24％程度</t>
        </is>
      </c>
      <c r="R62" s="3" t="inlineStr">
        <is>
          <t>全症例の0％〜24％程度</t>
        </is>
      </c>
      <c r="T62" s="3" t="inlineStr">
        <is>
          <t>下腿周径</t>
        </is>
      </c>
      <c r="V62" s="3" t="inlineStr">
        <is>
          <t>実施していない</t>
        </is>
      </c>
      <c r="W62" s="3" t="inlineStr">
        <is>
          <t>フレイル目的で評価をしていないため。機能、能力判定に評価をしている。</t>
        </is>
      </c>
      <c r="X62" s="3" t="inlineStr">
        <is>
          <t>実施していない</t>
        </is>
      </c>
      <c r="Y62" s="3" t="inlineStr">
        <is>
          <t>ロコモティブシンドローム目的で評価していないため。</t>
        </is>
      </c>
      <c r="Z62" s="3" t="inlineStr">
        <is>
          <t>Barthel Index（BI）</t>
        </is>
      </c>
      <c r="AB62" s="3" t="inlineStr">
        <is>
          <t>MMSE, HDS-R</t>
        </is>
      </c>
      <c r="AD62" s="3" t="inlineStr">
        <is>
          <t>実施していない</t>
        </is>
      </c>
      <c r="AE62" s="3" t="inlineStr">
        <is>
          <t>FLS活動の一環として実施していないため。能力把握で評価はしている項目あり。</t>
        </is>
      </c>
      <c r="AI62" s="3" t="inlineStr">
        <is>
          <t>下肢筋力強化, バランス練習, 歩行練習, 歩容改善, 起立、着座動作練習, 環境調整, 補助具、装具の適正化, 認知面への介入, 教育、指導</t>
        </is>
      </c>
    </row>
    <row r="63" ht="22.5" customHeight="1">
      <c r="A63" s="32" t="n">
        <v>46088.54764357639</v>
      </c>
      <c r="B63" s="3" t="inlineStr">
        <is>
          <t>相原　徹也</t>
        </is>
      </c>
      <c r="C63" s="3" t="inlineStr">
        <is>
          <t>新座志木中央総合病院</t>
        </is>
      </c>
      <c r="D63" s="3" t="inlineStr">
        <is>
          <t>埼玉県</t>
        </is>
      </c>
      <c r="E63" s="3" t="inlineStr">
        <is>
          <t>t_kodaka@tmg.or.jp</t>
        </is>
      </c>
      <c r="F63" s="3" t="inlineStr">
        <is>
          <t>リハビリテーション科/理学療法士</t>
        </is>
      </c>
      <c r="G63" s="3" t="n">
        <v>269</v>
      </c>
      <c r="H63" s="3" t="n">
        <v>45</v>
      </c>
      <c r="I63" s="3" t="n">
        <v>0</v>
      </c>
      <c r="J63" s="3" t="inlineStr">
        <is>
          <t>現在、算定している</t>
        </is>
      </c>
      <c r="K63" s="3" t="inlineStr">
        <is>
          <t>関節可動域運動, 筋力増強運動, DVT予防, リラクセーション, ポジショニング, 自主運動指導, 術後リハビリテーションのオリエンテーション</t>
        </is>
      </c>
      <c r="L63" s="3" t="inlineStr">
        <is>
          <t>全症例の0％〜24％程度</t>
        </is>
      </c>
      <c r="N63" s="3" t="inlineStr">
        <is>
          <t>全症例の0％〜24％程度</t>
        </is>
      </c>
      <c r="P63" s="3" t="inlineStr">
        <is>
          <t>全症例の0％〜24％程度</t>
        </is>
      </c>
      <c r="R63" s="3" t="inlineStr">
        <is>
          <t>全症例の0％〜24％程度</t>
        </is>
      </c>
      <c r="T63" s="3" t="inlineStr">
        <is>
          <t>握力, 下腿周径</t>
        </is>
      </c>
      <c r="V63" s="3" t="inlineStr">
        <is>
          <t>認知機能, 握力</t>
        </is>
      </c>
      <c r="X63" s="3" t="inlineStr">
        <is>
          <t>ロコモ25（質問票）</t>
        </is>
      </c>
      <c r="Z63" s="3" t="inlineStr">
        <is>
          <t>Barthel Index（BI）, FIM</t>
        </is>
      </c>
      <c r="AB63" s="3" t="inlineStr">
        <is>
          <t>HDS-R</t>
        </is>
      </c>
      <c r="AD63" s="3" t="inlineStr">
        <is>
          <t>定量的な下肢筋力測定, 深部感覚評価, 認知機能, 過去の転倒歴, 既往疾患の有無（脳血管疾患、パーキンソン病など）, ベッド周囲および病室環境</t>
        </is>
      </c>
      <c r="AF63" s="3" t="inlineStr">
        <is>
          <t>決まっている</t>
        </is>
      </c>
      <c r="AG63" s="3" t="inlineStr">
        <is>
          <t>術後1日目，術後14日目</t>
        </is>
      </c>
      <c r="AI63" s="3" t="inlineStr">
        <is>
          <t>下肢筋力強化, バランス練習, 歩行練習, 歩容改善, 起立、着座動作練習, 環境調整, 補助具、装具の適正化, 認知面への介入, 行動面への介入, 教育、指導</t>
        </is>
      </c>
    </row>
    <row r="64" ht="22.5" customHeight="1">
      <c r="A64" s="32" t="n">
        <v>46090.37627998843</v>
      </c>
      <c r="B64" s="3" t="inlineStr">
        <is>
          <t>佐藤大樹</t>
        </is>
      </c>
      <c r="C64" s="3" t="inlineStr">
        <is>
          <t>社会福祉法人函館厚生院函館五稜郭病院</t>
        </is>
      </c>
      <c r="D64" s="3" t="inlineStr">
        <is>
          <t>北海道</t>
        </is>
      </c>
      <c r="E64" s="3" t="inlineStr">
        <is>
          <t>gaburichu_takeshi@icloud.com</t>
        </is>
      </c>
      <c r="F64" s="3" t="inlineStr">
        <is>
          <t>作業療法士</t>
        </is>
      </c>
      <c r="G64" s="3" t="n">
        <v>146</v>
      </c>
      <c r="H64" s="3" t="n">
        <v>36</v>
      </c>
      <c r="I64" s="3" t="n">
        <v>5</v>
      </c>
      <c r="J64" s="3" t="inlineStr">
        <is>
          <t>届け出はしていないが、現在検討中である</t>
        </is>
      </c>
      <c r="K64" s="3" t="inlineStr">
        <is>
          <t>関節可動域運動, 筋力増強運動, 呼吸リハビリテーション, DVT予防, リラクセーション, ポジショニング, 自主運動指導, 術後リハビリテーションのオリエンテーション, 離床（例：車椅子移乗,立位,歩行など）</t>
        </is>
      </c>
      <c r="L64" s="3" t="inlineStr">
        <is>
          <t>全症例の75％〜100％程度</t>
        </is>
      </c>
      <c r="M64" s="3" t="inlineStr">
        <is>
          <t>特別な対応なし</t>
        </is>
      </c>
      <c r="N64" s="3" t="inlineStr">
        <is>
          <t>全症例の25％〜49％程度</t>
        </is>
      </c>
      <c r="P64" s="3" t="inlineStr">
        <is>
          <t>全症例の25％〜49％程度</t>
        </is>
      </c>
      <c r="R64" s="3" t="inlineStr">
        <is>
          <t>全症例の0％〜24％程度</t>
        </is>
      </c>
      <c r="T64" s="3" t="inlineStr">
        <is>
          <t>握力, 膝伸展筋力, 歩行速度, TUG</t>
        </is>
      </c>
      <c r="V64" s="3" t="inlineStr">
        <is>
          <t>TUG, 認知機能, 握力</t>
        </is>
      </c>
      <c r="X64" s="3" t="inlineStr">
        <is>
          <t>実施していない</t>
        </is>
      </c>
      <c r="Y64" s="3" t="inlineStr">
        <is>
          <t>現状大腿骨骨折のみを対象としているため，病前実施ができない．質問紙は認知機能の問題や労力の観点から実施が難しい．</t>
        </is>
      </c>
      <c r="Z64" s="3" t="inlineStr">
        <is>
          <t>Barthel Index（BI）, FIM</t>
        </is>
      </c>
      <c r="AB64" s="3" t="inlineStr">
        <is>
          <t>HDS-R, AMTS</t>
        </is>
      </c>
      <c r="AD64" s="3" t="inlineStr">
        <is>
          <t>定量的な下肢筋力測定, 認知機能</t>
        </is>
      </c>
      <c r="AF64" s="3" t="inlineStr">
        <is>
          <t>決まっていない</t>
        </is>
      </c>
      <c r="AH64" s="3" t="inlineStr">
        <is>
          <t>科内として定期的な取り決めはあるが，施設FLS活動として具体的には決めてはいない．術前の認知機能検査，握力測定は極力実施するよう決めている．</t>
        </is>
      </c>
      <c r="AI64" s="3" t="inlineStr">
        <is>
          <t>下肢筋力強化, バランス練習, 歩行練習, 歩容改善, 起立、着座動作練習, 環境調整, 補助具、装具の適正化, 認知面への介入, 行動面への介入, 教育、指導</t>
        </is>
      </c>
    </row>
    <row r="65" ht="22.5" customHeight="1">
      <c r="A65" s="32" t="n">
        <v>46090.40437293982</v>
      </c>
      <c r="B65" s="3" t="inlineStr">
        <is>
          <t>木村英司</t>
        </is>
      </c>
      <c r="C65" s="3" t="inlineStr">
        <is>
          <t>中部国際医療センター</t>
        </is>
      </c>
      <c r="D65" s="3" t="inlineStr">
        <is>
          <t>岐阜県</t>
        </is>
      </c>
      <c r="E65" s="3" t="inlineStr">
        <is>
          <t>riha@cjimc-hp.jp</t>
        </is>
      </c>
      <c r="F65" s="3" t="inlineStr">
        <is>
          <t>リハビリテーション技術部/理学療法士</t>
        </is>
      </c>
      <c r="G65" s="3" t="n">
        <v>500</v>
      </c>
      <c r="H65" s="3" t="n">
        <v>10</v>
      </c>
      <c r="I65" s="3" t="n">
        <v>4</v>
      </c>
      <c r="J65" s="3" t="inlineStr">
        <is>
          <t>届け出はしていないが、現在検討中である</t>
        </is>
      </c>
      <c r="K65" s="3" t="inlineStr">
        <is>
          <t>関節可動域運動, DVT予防, ポジショニング, 術後リハビリテーションのオリエンテーション, 離床（例：車椅子移乗,立位,歩行など）</t>
        </is>
      </c>
      <c r="L65" s="3" t="inlineStr">
        <is>
          <t>全症例の0％〜24％程度</t>
        </is>
      </c>
      <c r="N65" s="3" t="inlineStr">
        <is>
          <t>全症例の0％〜24％程度</t>
        </is>
      </c>
      <c r="P65" s="3" t="inlineStr">
        <is>
          <t>全症例の0％〜24％程度</t>
        </is>
      </c>
      <c r="R65" s="3" t="inlineStr">
        <is>
          <t>全症例の0％〜24％程度</t>
        </is>
      </c>
      <c r="T65" s="3" t="inlineStr">
        <is>
          <t>握力, TUG, 下腿周径</t>
        </is>
      </c>
      <c r="V65" s="3" t="inlineStr">
        <is>
          <t>TUG, 認知機能, 握力</t>
        </is>
      </c>
      <c r="X65" s="3" t="inlineStr">
        <is>
          <t>立ち上がりテスト</t>
        </is>
      </c>
      <c r="Z65" s="3" t="inlineStr">
        <is>
          <t>FIM</t>
        </is>
      </c>
      <c r="AB65" s="3" t="inlineStr">
        <is>
          <t>MMSE, HDS-R</t>
        </is>
      </c>
      <c r="AD65" s="3" t="inlineStr">
        <is>
          <t>定量的な下肢筋力測定, TUG, 10m歩行速度, 認知機能, 過去の転倒歴, NRS</t>
        </is>
      </c>
      <c r="AF65" s="3" t="inlineStr">
        <is>
          <t>決まっていない</t>
        </is>
      </c>
      <c r="AH65" s="3" t="inlineStr">
        <is>
          <t>適宜となります。</t>
        </is>
      </c>
      <c r="AI65" s="3" t="inlineStr">
        <is>
          <t>下肢筋力強化, バランス練習, 歩行練習, 歩容改善, 起立、着座動作練習, 環境調整, 補助具、装具の適正化, 認知面への介入, 教育、指導</t>
        </is>
      </c>
    </row>
    <row r="66" ht="22.5" customHeight="1">
      <c r="A66" s="32" t="n">
        <v>46090.40549748843</v>
      </c>
      <c r="B66" s="3" t="inlineStr">
        <is>
          <t>中　翔一郎</t>
        </is>
      </c>
      <c r="C66" s="3" t="inlineStr">
        <is>
          <t>特定医療法人　明徳会　佐藤第一病院</t>
        </is>
      </c>
      <c r="D66" s="3" t="inlineStr">
        <is>
          <t>大分県</t>
        </is>
      </c>
      <c r="E66" s="3" t="inlineStr">
        <is>
          <t>meitokukai-rh@sato-d1.com</t>
        </is>
      </c>
      <c r="F66" s="3" t="inlineStr">
        <is>
          <t>リハビリテーション部　理学療法士</t>
        </is>
      </c>
      <c r="G66" s="3" t="n">
        <v>66</v>
      </c>
      <c r="H66" s="3" t="n">
        <v>11</v>
      </c>
      <c r="I66" s="3" t="n">
        <v>5</v>
      </c>
      <c r="J66" s="3" t="inlineStr">
        <is>
          <t>現在、算定している</t>
        </is>
      </c>
      <c r="K66" s="3" t="inlineStr">
        <is>
          <t>関節可動域運動, リラクセーション, ポジショニング, 術後リハビリテーションのオリエンテーション</t>
        </is>
      </c>
      <c r="L66" s="3" t="inlineStr">
        <is>
          <t>全症例の50％〜74％程度</t>
        </is>
      </c>
      <c r="M66" s="3" t="inlineStr">
        <is>
          <t>物理療法など電気刺激療法（TENS）による疼痛緩和など</t>
        </is>
      </c>
      <c r="N66" s="3" t="inlineStr">
        <is>
          <t>全症例の25％〜49％程度</t>
        </is>
      </c>
      <c r="P66" s="3" t="inlineStr">
        <is>
          <t>全症例の0％〜24％程度</t>
        </is>
      </c>
      <c r="Q66" s="3" t="inlineStr">
        <is>
          <t>徒手、物理療法を全症例実施し、術後早期より起立練習を実施している（回数確認）</t>
        </is>
      </c>
      <c r="R66" s="3" t="inlineStr">
        <is>
          <t>全症例の0％〜24％程度</t>
        </is>
      </c>
      <c r="T66" s="3" t="inlineStr">
        <is>
          <t>握力</t>
        </is>
      </c>
      <c r="V66" s="3" t="inlineStr">
        <is>
          <t>握力</t>
        </is>
      </c>
      <c r="X66" s="3" t="inlineStr">
        <is>
          <t>実施していない</t>
        </is>
      </c>
      <c r="Y66" s="3" t="inlineStr">
        <is>
          <t>急性疾患の評価を優先しており、ロコモでも視点で評価していない</t>
        </is>
      </c>
      <c r="Z66" s="3" t="inlineStr">
        <is>
          <t>Barthel Index（BI）</t>
        </is>
      </c>
      <c r="AB66" s="3" t="inlineStr">
        <is>
          <t>MMSE, HDS-R</t>
        </is>
      </c>
      <c r="AD66" s="3" t="inlineStr">
        <is>
          <t>実施していない</t>
        </is>
      </c>
      <c r="AE66" s="3" t="inlineStr">
        <is>
          <t>施設内で定めている評価はないが、FBS、TUG、FRIや環境調整などを適時スタッフが個別に実施している</t>
        </is>
      </c>
      <c r="AH66" s="3" t="inlineStr">
        <is>
          <t>多様な疾患の方が入院してくる施設であり、統一することが難しい</t>
        </is>
      </c>
      <c r="AI66" s="3" t="inlineStr">
        <is>
          <t>下肢筋力強化, バランス練習, 歩行練習, 歩容改善, 起立、着座動作練習, 環境調整, 補助具、装具の適正化, 認知面への介入, 教育、指導</t>
        </is>
      </c>
    </row>
    <row r="67" ht="22.5" customHeight="1">
      <c r="A67" s="32" t="n">
        <v>46090.54259209491</v>
      </c>
      <c r="B67" s="3" t="inlineStr">
        <is>
          <t>中西　亨</t>
        </is>
      </c>
      <c r="C67" s="3" t="inlineStr">
        <is>
          <t>医療法人大医会　日進おりど病院</t>
        </is>
      </c>
      <c r="D67" s="3" t="inlineStr">
        <is>
          <t>愛知県</t>
        </is>
      </c>
      <c r="E67" s="3" t="inlineStr">
        <is>
          <t>orido_reha@daiikai.jp</t>
        </is>
      </c>
      <c r="F67" s="3" t="inlineStr">
        <is>
          <t>リハビリテーション科/理学療法士</t>
        </is>
      </c>
      <c r="G67" s="3" t="n">
        <v>61</v>
      </c>
      <c r="H67" s="3" t="n">
        <v>11</v>
      </c>
      <c r="I67" s="3" t="n">
        <v>3</v>
      </c>
      <c r="J67" s="3" t="inlineStr">
        <is>
          <t>届け出をしておらず、検討もしていない</t>
        </is>
      </c>
      <c r="K67" s="3" t="inlineStr">
        <is>
          <t>関節可動域運動, 筋力増強運動, リラクセーション, ポジショニング, 自主運動指導, 離床（例：車椅子移乗,立位,歩行など）</t>
        </is>
      </c>
      <c r="L67" s="3" t="inlineStr">
        <is>
          <t>全症例の0％〜24％程度</t>
        </is>
      </c>
      <c r="N67" s="3" t="inlineStr">
        <is>
          <t>全症例の25％〜49％程度</t>
        </is>
      </c>
      <c r="P67" s="3" t="inlineStr">
        <is>
          <t>全症例の0％〜24％程度</t>
        </is>
      </c>
      <c r="R67" s="3" t="inlineStr">
        <is>
          <t>全症例の0％〜24％程度</t>
        </is>
      </c>
      <c r="T67" s="3" t="inlineStr">
        <is>
          <t>SPPB</t>
        </is>
      </c>
      <c r="V67" s="3" t="inlineStr">
        <is>
          <t>認知機能</t>
        </is>
      </c>
      <c r="X67" s="3" t="inlineStr">
        <is>
          <t>立ち上がりテスト</t>
        </is>
      </c>
      <c r="Z67" s="3" t="inlineStr">
        <is>
          <t>FIM</t>
        </is>
      </c>
      <c r="AB67" s="3" t="inlineStr">
        <is>
          <t>MMSE, HDS-R, AMTS</t>
        </is>
      </c>
      <c r="AD67" s="3" t="inlineStr">
        <is>
          <t>開眼片脚立位時間, SPPB、Functional Reach Test（FRT）, 認知機能, SIDE</t>
        </is>
      </c>
      <c r="AF67" s="3" t="inlineStr">
        <is>
          <t>決まっている</t>
        </is>
      </c>
      <c r="AG67" s="3" t="inlineStr">
        <is>
          <t>14日目にSPPB、MMSE評価</t>
        </is>
      </c>
      <c r="AI67" s="3" t="inlineStr">
        <is>
          <t>下肢筋力強化, バランス練習, 歩行練習, 歩容改善, 起立、着座動作練習, 環境調整, 補助具、装具の適正化, 認知面への介入, 行動面への介入, 教育、指導</t>
        </is>
      </c>
    </row>
    <row r="68" ht="22.5" customHeight="1">
      <c r="A68" s="32" t="n">
        <v>46090.63999226852</v>
      </c>
      <c r="B68" s="3" t="inlineStr">
        <is>
          <t>河合　賢太郎</t>
        </is>
      </c>
      <c r="C68" s="3" t="inlineStr">
        <is>
          <t>大垣市民病院</t>
        </is>
      </c>
      <c r="D68" s="3" t="inlineStr">
        <is>
          <t>岐阜県</t>
        </is>
      </c>
      <c r="E68" s="3" t="inlineStr">
        <is>
          <t>giants.kawa.kami.g@gmail.com</t>
        </is>
      </c>
      <c r="F68" s="3" t="inlineStr">
        <is>
          <t>リハビリテーション科／理学療法士</t>
        </is>
      </c>
      <c r="G68" s="3" t="n">
        <v>198</v>
      </c>
      <c r="H68" s="3" t="n">
        <v>8</v>
      </c>
      <c r="I68" s="3" t="n">
        <v>0</v>
      </c>
      <c r="J68" s="3" t="inlineStr">
        <is>
          <t>届け出はしていないが、現在検討中である</t>
        </is>
      </c>
      <c r="K68" s="3" t="inlineStr">
        <is>
          <t>関節可動域運動, 筋力増強運動, 呼吸リハビリテーション, DVT予防, リラクセーション, ポジショニング, 自主運動指導, 術後リハビリテーションのオリエンテーション, 離床（例：車椅子移乗,立位,歩行など）</t>
        </is>
      </c>
      <c r="L68" s="3" t="inlineStr">
        <is>
          <t>全症例の0％〜24％程度</t>
        </is>
      </c>
      <c r="N68" s="3" t="inlineStr">
        <is>
          <t>全症例の0％〜24％程度</t>
        </is>
      </c>
      <c r="P68" s="3" t="inlineStr">
        <is>
          <t>全症例の0％〜24％程度</t>
        </is>
      </c>
      <c r="R68" s="3" t="inlineStr">
        <is>
          <t>全症例の0％〜24％程度</t>
        </is>
      </c>
      <c r="T68" s="3" t="inlineStr">
        <is>
          <t>実施していない</t>
        </is>
      </c>
      <c r="U68" s="3" t="inlineStr">
        <is>
          <t>評価する時間が取れない</t>
        </is>
      </c>
      <c r="V68" s="3" t="inlineStr">
        <is>
          <t>実施していない</t>
        </is>
      </c>
      <c r="W68" s="3" t="inlineStr">
        <is>
          <t>評価する時間がとれない</t>
        </is>
      </c>
      <c r="X68" s="3" t="inlineStr">
        <is>
          <t>実施していない</t>
        </is>
      </c>
      <c r="Y68" s="3" t="inlineStr">
        <is>
          <t>評価する時間が取れない</t>
        </is>
      </c>
      <c r="Z68" s="3" t="inlineStr">
        <is>
          <t>Barthel Index（BI）</t>
        </is>
      </c>
      <c r="AB68" s="3" t="inlineStr">
        <is>
          <t>実施していない</t>
        </is>
      </c>
      <c r="AC68" s="3" t="inlineStr">
        <is>
          <t>看護師が認知機能検査を実施するため</t>
        </is>
      </c>
      <c r="AD68" s="3" t="inlineStr">
        <is>
          <t>実施していない</t>
        </is>
      </c>
      <c r="AE68" s="3" t="inlineStr">
        <is>
          <t>必要があれば実施しているが、実施することが定められてはいない。</t>
        </is>
      </c>
      <c r="AH68" s="3" t="inlineStr">
        <is>
          <t>必要があれば実施しているが、全症例に共通した評価をする時間が取れない</t>
        </is>
      </c>
      <c r="AI68" s="3" t="inlineStr">
        <is>
          <t>下肢筋力強化, バランス練習, 歩行練習, 歩容改善, 起立、着座動作練習, 環境調整, 補助具、装具の適正化, 認知面への介入, 行動面への介入, 薬剤調整, 教育、指導</t>
        </is>
      </c>
    </row>
    <row r="69" ht="22.5" customHeight="1">
      <c r="A69" s="32" t="n">
        <v>46091.35100034723</v>
      </c>
      <c r="B69" s="3" t="inlineStr">
        <is>
          <t>山根 健太</t>
        </is>
      </c>
      <c r="C69" s="3" t="inlineStr">
        <is>
          <t>鳥取県立中央病院</t>
        </is>
      </c>
      <c r="D69" s="3" t="inlineStr">
        <is>
          <t>鳥取県</t>
        </is>
      </c>
      <c r="E69" s="3" t="inlineStr">
        <is>
          <t>y.kenta.chubyoriha.pt@gmail.com</t>
        </is>
      </c>
      <c r="F69" s="3" t="inlineStr">
        <is>
          <t>リハビリテーション室／理学療法士</t>
        </is>
      </c>
      <c r="G69" s="3" t="n">
        <v>90</v>
      </c>
      <c r="H69" s="3" t="n">
        <v>10</v>
      </c>
      <c r="I69" s="3" t="n">
        <v>7</v>
      </c>
      <c r="J69" s="3" t="inlineStr">
        <is>
          <t>届け出はしていないが、現在検討中である</t>
        </is>
      </c>
      <c r="K69" s="3" t="inlineStr">
        <is>
          <t>関節可動域運動, 筋力増強運動, DVT予防, リラクセーション, ポジショニング, 自主運動指導, 術後リハビリテーションのオリエンテーション</t>
        </is>
      </c>
      <c r="L69" s="3" t="inlineStr">
        <is>
          <t>全症例の0％〜24％程度</t>
        </is>
      </c>
      <c r="N69" s="3" t="inlineStr">
        <is>
          <t>全症例の0％〜24％程度</t>
        </is>
      </c>
      <c r="P69" s="3" t="inlineStr">
        <is>
          <t>全症例の25％〜49％程度</t>
        </is>
      </c>
      <c r="R69" s="3" t="inlineStr">
        <is>
          <t>全症例の0％〜24％程度</t>
        </is>
      </c>
      <c r="T69" s="3" t="inlineStr">
        <is>
          <t>TUG</t>
        </is>
      </c>
      <c r="V69" s="3" t="inlineStr">
        <is>
          <t>TUG</t>
        </is>
      </c>
      <c r="X69" s="3" t="inlineStr">
        <is>
          <t>実施していない</t>
        </is>
      </c>
      <c r="Y69" s="3" t="inlineStr">
        <is>
          <t>限られた時間の中で早期離床への課題を中心に取り組み、可能となれば早期に転院となるため</t>
        </is>
      </c>
      <c r="Z69" s="3" t="inlineStr">
        <is>
          <t>Barthel Index（BI）, FIM</t>
        </is>
      </c>
      <c r="AB69" s="3" t="inlineStr">
        <is>
          <t>MMSE, HDS-R, AMTS</t>
        </is>
      </c>
      <c r="AD69" s="3" t="inlineStr">
        <is>
          <t>TUG, 認知機能, せん妄, 過去の転倒歴, 既往疾患の有無（脳血管疾患、パーキンソン病など）, 薬剤（向精神薬、降圧薬、利尿薬、ポリファーマシーなど）, ベッド周囲および病室環境</t>
        </is>
      </c>
      <c r="AF69" s="3" t="inlineStr">
        <is>
          <t>決まっていない</t>
        </is>
      </c>
      <c r="AH69" s="3" t="inlineStr">
        <is>
          <t>FLSとしての活動が不十分だから</t>
        </is>
      </c>
      <c r="AI69" s="3" t="inlineStr">
        <is>
          <t>下肢筋力強化, バランス練習, 歩行練習, 歩容改善, 起立、着座動作練習, 環境調整, 補助具、装具の適正化, 認知面への介入, 行動面への介入, 教育、指導</t>
        </is>
      </c>
    </row>
    <row r="70" ht="22.5" customHeight="1">
      <c r="A70" s="32" t="n">
        <v>46091.39166469908</v>
      </c>
      <c r="B70" s="3" t="inlineStr">
        <is>
          <t>柳川　明義</t>
        </is>
      </c>
      <c r="C70" s="3" t="inlineStr">
        <is>
          <t>社会医療法人信愛会畷生会脳神経外科病院</t>
        </is>
      </c>
      <c r="D70" s="3" t="inlineStr">
        <is>
          <t>大阪府</t>
        </is>
      </c>
      <c r="E70" s="3" t="inlineStr">
        <is>
          <t>ak.yanagawa@tesseikai.jp</t>
        </is>
      </c>
      <c r="F70" s="3" t="inlineStr">
        <is>
          <t>リハビリテーション科／作業療法士</t>
        </is>
      </c>
      <c r="G70" s="3" t="n">
        <v>108</v>
      </c>
      <c r="H70" s="3" t="n">
        <v>25</v>
      </c>
      <c r="I70" s="3" t="n">
        <v>0</v>
      </c>
      <c r="J70" s="3" t="inlineStr">
        <is>
          <t>届け出はしていないが、現在検討中である</t>
        </is>
      </c>
      <c r="K70" s="3" t="inlineStr">
        <is>
          <t>実施していない</t>
        </is>
      </c>
      <c r="L70" s="3" t="inlineStr">
        <is>
          <t>全症例の0％〜24％程度</t>
        </is>
      </c>
      <c r="N70" s="3" t="inlineStr">
        <is>
          <t>全症例の0％〜24％程度</t>
        </is>
      </c>
      <c r="P70" s="3" t="inlineStr">
        <is>
          <t>全症例の0％〜24％程度</t>
        </is>
      </c>
      <c r="R70" s="3" t="inlineStr">
        <is>
          <t>全症例の0％〜24％程度</t>
        </is>
      </c>
      <c r="T70" s="3" t="inlineStr">
        <is>
          <t>握力, 膝伸展筋力, 5回椅子立ち上がりテスト, 歩行速度, SPPB, TUG, 6分間歩行距離, 開眼片脚立位時間, 下腿周径</t>
        </is>
      </c>
      <c r="V70" s="3" t="inlineStr">
        <is>
          <t>TUG, 6分間歩行距離, 認知機能</t>
        </is>
      </c>
      <c r="X70" s="3" t="inlineStr">
        <is>
          <t>実施していない</t>
        </is>
      </c>
      <c r="Y70" s="3" t="inlineStr">
        <is>
          <t>ロコモティブシンドロームをそれほど考慮したリハビリを実施していない</t>
        </is>
      </c>
      <c r="Z70" s="3" t="inlineStr">
        <is>
          <t>Barthel Index（BI）, FIM</t>
        </is>
      </c>
      <c r="AB70" s="3" t="inlineStr">
        <is>
          <t>HDS-R</t>
        </is>
      </c>
      <c r="AD70" s="3" t="inlineStr">
        <is>
          <t>定量的な下肢筋力測定, 開眼片脚立位時間, TUG, 10m歩行速度, 過去の転倒歴, 既往疾患の有無（脳血管疾患、パーキンソン病など）, ベッド周囲および病室環境</t>
        </is>
      </c>
      <c r="AF70" s="3" t="inlineStr">
        <is>
          <t>決まっていない</t>
        </is>
      </c>
      <c r="AH70" s="3" t="inlineStr">
        <is>
          <t>必要に応じて（対象者に応じて）実施する為</t>
        </is>
      </c>
      <c r="AI70" s="3" t="inlineStr">
        <is>
          <t>下肢筋力強化, バランス練習, 歩行練習, 歩容改善, 起立、着座動作練習, 環境調整, 補助具、装具の適正化, 教育、指導</t>
        </is>
      </c>
    </row>
    <row r="71" ht="22.5" customHeight="1">
      <c r="A71" s="32" t="n">
        <v>46091.40037730324</v>
      </c>
      <c r="B71" s="3" t="inlineStr">
        <is>
          <t>内藤浩平</t>
        </is>
      </c>
      <c r="C71" s="3" t="inlineStr">
        <is>
          <t>西の京病院</t>
        </is>
      </c>
      <c r="D71" s="3" t="inlineStr">
        <is>
          <t>奈良県</t>
        </is>
      </c>
      <c r="E71" s="3" t="inlineStr">
        <is>
          <t>ols@nishinokyo.or.jp</t>
        </is>
      </c>
      <c r="F71" s="3" t="inlineStr">
        <is>
          <t>明道知巳</t>
        </is>
      </c>
      <c r="G71" s="3" t="n">
        <v>83</v>
      </c>
      <c r="H71" s="3" t="n">
        <v>19</v>
      </c>
      <c r="I71" s="3" t="n">
        <v>7</v>
      </c>
      <c r="J71" s="3" t="inlineStr">
        <is>
          <t>現在、算定している</t>
        </is>
      </c>
      <c r="K71" s="3" t="inlineStr">
        <is>
          <t>関節可動域運動, 筋力増強運動, リラクセーション, ポジショニング, 自主運動指導, 術後リハビリテーションのオリエンテーション, 術前評価とADL指導（移乗・トイレ動作）、安静度の決定など</t>
        </is>
      </c>
      <c r="L71" s="3" t="inlineStr">
        <is>
          <t>全症例の25％〜49％程度</t>
        </is>
      </c>
      <c r="N71" s="3" t="inlineStr">
        <is>
          <t>全症例の0％〜24％程度</t>
        </is>
      </c>
      <c r="P71" s="3" t="inlineStr">
        <is>
          <t>全症例の0％〜24％程度</t>
        </is>
      </c>
      <c r="R71" s="3" t="inlineStr">
        <is>
          <t>全症例の0％〜24％程度</t>
        </is>
      </c>
      <c r="T71" s="3" t="inlineStr">
        <is>
          <t>握力, 膝伸展筋力, 5回椅子立ち上がりテスト, 歩行速度, SPPB, TUG, 開眼片脚立位時間, 下腿周径</t>
        </is>
      </c>
      <c r="V71" s="3" t="inlineStr">
        <is>
          <t>TUG, 握力</t>
        </is>
      </c>
      <c r="X71" s="3" t="inlineStr">
        <is>
          <t>立ち上がりテスト</t>
        </is>
      </c>
      <c r="Z71" s="3" t="inlineStr">
        <is>
          <t>Barthel Index（BI）, FIM</t>
        </is>
      </c>
      <c r="AB71" s="3" t="inlineStr">
        <is>
          <t>HDS-R</t>
        </is>
      </c>
      <c r="AD71" s="3" t="inlineStr">
        <is>
          <t>実施していない</t>
        </is>
      </c>
      <c r="AE71" s="3" t="inlineStr">
        <is>
          <t>転棟があったケースについては原因確認し、対策を検討するがすべてのケースに決まった評価は実施できていない。</t>
        </is>
      </c>
      <c r="AI71" s="3" t="inlineStr">
        <is>
          <t>下肢筋力強化, バランス練習, 歩行練習, 歩容改善, 起立、着座動作練習, 環境調整, 認知面への介入, 行動面への介入, 教育、指導</t>
        </is>
      </c>
    </row>
    <row r="72" ht="22.5" customHeight="1">
      <c r="A72" s="32" t="n">
        <v>46091.41776642361</v>
      </c>
      <c r="B72" s="3" t="inlineStr">
        <is>
          <t>渡邉友彦</t>
        </is>
      </c>
      <c r="C72" s="3" t="inlineStr">
        <is>
          <t>長野市民病院</t>
        </is>
      </c>
      <c r="D72" s="3" t="inlineStr">
        <is>
          <t>長野県</t>
        </is>
      </c>
      <c r="E72" s="3" t="inlineStr">
        <is>
          <t>tomohiko_watanabe@hospital.nagano.nagano.jp</t>
        </is>
      </c>
      <c r="F72" s="3" t="inlineStr">
        <is>
          <t>リハビリテーション科　理学療法士</t>
        </is>
      </c>
      <c r="G72" s="3" t="n">
        <v>181</v>
      </c>
      <c r="H72" s="3" t="n">
        <v>8</v>
      </c>
      <c r="I72" s="3" t="n">
        <v>6</v>
      </c>
      <c r="J72" s="3" t="inlineStr">
        <is>
          <t>届け出をしておらず、検討もしていない</t>
        </is>
      </c>
      <c r="K72" s="3" t="inlineStr">
        <is>
          <t>主には実施していない。依頼があったときのみ。</t>
        </is>
      </c>
      <c r="L72" s="3" t="inlineStr">
        <is>
          <t>全症例の50％〜74％程度</t>
        </is>
      </c>
      <c r="M72" s="3" t="inlineStr">
        <is>
          <t>術翌日から介入しており、早期離床を目的としているから</t>
        </is>
      </c>
      <c r="N72" s="3" t="inlineStr">
        <is>
          <t>全症例の25％〜49％程度</t>
        </is>
      </c>
      <c r="P72" s="3" t="inlineStr">
        <is>
          <t>全症例の25％〜49％程度</t>
        </is>
      </c>
      <c r="R72" s="3" t="inlineStr">
        <is>
          <t>全症例の25％〜49％程度</t>
        </is>
      </c>
      <c r="T72" s="3" t="inlineStr">
        <is>
          <t>膝伸展筋力, 歩行速度, 下腿周径</t>
        </is>
      </c>
      <c r="V72" s="3" t="inlineStr">
        <is>
          <t>セラピストによって実施しているが、必ずやると決めていない</t>
        </is>
      </c>
      <c r="X72" s="3" t="inlineStr">
        <is>
          <t>実施していない</t>
        </is>
      </c>
      <c r="Y72" s="3" t="inlineStr">
        <is>
          <t>行うと決めていない</t>
        </is>
      </c>
      <c r="Z72" s="3" t="inlineStr">
        <is>
          <t>FIM</t>
        </is>
      </c>
      <c r="AB72" s="3" t="inlineStr">
        <is>
          <t>MMSE</t>
        </is>
      </c>
      <c r="AD72" s="3" t="inlineStr">
        <is>
          <t>転倒リスク評価表で評価している</t>
        </is>
      </c>
      <c r="AF72" s="3" t="inlineStr">
        <is>
          <t>決まっていない</t>
        </is>
      </c>
      <c r="AH72" s="3" t="inlineStr">
        <is>
          <t>日にちまでは具体的に決めていない。1週のうちに行うようにしている。</t>
        </is>
      </c>
      <c r="AI72" s="3" t="inlineStr">
        <is>
          <t>下肢筋力強化, バランス練習, 歩行練習, 起立、着座動作練習, 環境調整, 認知面への介入</t>
        </is>
      </c>
    </row>
    <row r="73" ht="22.5" customHeight="1">
      <c r="A73" s="32" t="n">
        <v>46091.42864465278</v>
      </c>
      <c r="B73" s="3" t="inlineStr">
        <is>
          <t>鵜鷹　正敏</t>
        </is>
      </c>
      <c r="C73" s="3" t="inlineStr">
        <is>
          <t>西脇市立西脇病院</t>
        </is>
      </c>
      <c r="D73" s="3" t="inlineStr">
        <is>
          <t>兵庫県</t>
        </is>
      </c>
      <c r="E73" s="3" t="inlineStr">
        <is>
          <t>rehapt@nshp.jp</t>
        </is>
      </c>
      <c r="G73" s="3" t="n">
        <v>114</v>
      </c>
      <c r="H73" s="3" t="n">
        <v>17</v>
      </c>
      <c r="I73" s="3" t="n">
        <v>9</v>
      </c>
      <c r="J73" s="3" t="inlineStr">
        <is>
          <t>届け出はしていないが、現在検討中である</t>
        </is>
      </c>
      <c r="K73" s="3" t="inlineStr">
        <is>
          <t>実施していない</t>
        </is>
      </c>
      <c r="L73" s="3" t="inlineStr">
        <is>
          <t>全症例の25％〜49％程度</t>
        </is>
      </c>
      <c r="N73" s="3" t="inlineStr">
        <is>
          <t>全症例の25％〜49％程度</t>
        </is>
      </c>
      <c r="P73" s="3" t="inlineStr">
        <is>
          <t>全症例の0％〜24％程度</t>
        </is>
      </c>
      <c r="R73" s="3" t="inlineStr">
        <is>
          <t>全症例の0％〜24％程度</t>
        </is>
      </c>
      <c r="T73" s="3" t="inlineStr">
        <is>
          <t>握力, 膝伸展筋力, 5回椅子立ち上がりテスト, 歩行速度, SPPB, 下腿周径, GNRI, 修正ＴＵＧ</t>
        </is>
      </c>
      <c r="V73" s="3" t="inlineStr">
        <is>
          <t>認知機能, GNRI, 握力, 修正ＴＵＧ</t>
        </is>
      </c>
      <c r="X73" s="3" t="inlineStr">
        <is>
          <t>立ち上がりテスト</t>
        </is>
      </c>
      <c r="Z73" s="3" t="inlineStr">
        <is>
          <t>Barthel Index（BI）</t>
        </is>
      </c>
      <c r="AB73" s="3" t="inlineStr">
        <is>
          <t>MMSE</t>
        </is>
      </c>
      <c r="AD73" s="3" t="inlineStr">
        <is>
          <t>定量的な下肢筋力測定, 10m歩行速度, SPPB、Functional Reach Test（FRT）, 5回椅子立ち上がりテスト, 認知機能, 修正ＴＵＧ</t>
        </is>
      </c>
      <c r="AF73" s="3" t="inlineStr">
        <is>
          <t>決まっている</t>
        </is>
      </c>
      <c r="AG73" s="3" t="inlineStr">
        <is>
          <t>術後１ＷＥＥＫ，退院日含めた３日間</t>
        </is>
      </c>
      <c r="AI73" s="3" t="inlineStr">
        <is>
          <t>下肢筋力強化, バランス練習, 歩行練習, 歩容改善, 起立、着座動作練習, 補助具、装具の適正化, 認知面への介入</t>
        </is>
      </c>
    </row>
    <row r="74" ht="22.5" customHeight="1">
      <c r="A74" s="32" t="n">
        <v>46091.51067472222</v>
      </c>
      <c r="B74" s="3" t="inlineStr">
        <is>
          <t>櫻井　亮佑</t>
        </is>
      </c>
      <c r="C74" s="3" t="inlineStr">
        <is>
          <t>社会福祉法人　聖霊会　聖霊病院</t>
        </is>
      </c>
      <c r="D74" s="3" t="inlineStr">
        <is>
          <t>愛知県</t>
        </is>
      </c>
      <c r="E74" s="3" t="inlineStr">
        <is>
          <t>reha@seirei-hospital.org</t>
        </is>
      </c>
      <c r="F74" s="3" t="inlineStr">
        <is>
          <t>リハビリテーション科　作業療法士</t>
        </is>
      </c>
      <c r="G74" s="3" t="n">
        <v>337</v>
      </c>
      <c r="H74" s="3" t="n">
        <v>17</v>
      </c>
      <c r="I74" s="3" t="n">
        <v>7</v>
      </c>
      <c r="J74" s="3" t="inlineStr">
        <is>
          <t>届け出はしていないが、現在検討中である</t>
        </is>
      </c>
      <c r="K74" s="3" t="inlineStr">
        <is>
          <t>関節可動域運動, 筋力増強運動, DVT予防, リラクセーション, ポジショニング, 自主運動指導, 術後リハビリテーションのオリエンテーション, 離床（例：車椅子移乗,立位,歩行など）</t>
        </is>
      </c>
      <c r="L74" s="3" t="inlineStr">
        <is>
          <t>全症例の0％〜24％程度</t>
        </is>
      </c>
      <c r="N74" s="3" t="inlineStr">
        <is>
          <t>全症例の0％〜24％程度</t>
        </is>
      </c>
      <c r="P74" s="3" t="inlineStr">
        <is>
          <t>全症例の0％〜24％程度</t>
        </is>
      </c>
      <c r="R74" s="3" t="inlineStr">
        <is>
          <t>全症例の0％〜24％程度</t>
        </is>
      </c>
      <c r="T74" s="3" t="inlineStr">
        <is>
          <t>握力, 歩行速度, TUG</t>
        </is>
      </c>
      <c r="V74" s="3" t="inlineStr">
        <is>
          <t>TUG, 認知機能, 握力</t>
        </is>
      </c>
      <c r="X74" s="3" t="inlineStr">
        <is>
          <t>実施していない</t>
        </is>
      </c>
      <c r="Y74" s="3" t="inlineStr">
        <is>
          <t>高齢の方が多いため</t>
        </is>
      </c>
      <c r="Z74" s="3" t="inlineStr">
        <is>
          <t>FIM</t>
        </is>
      </c>
      <c r="AB74" s="3" t="inlineStr">
        <is>
          <t>MMSE, HDS-R, AMTS</t>
        </is>
      </c>
      <c r="AD74" s="3" t="inlineStr">
        <is>
          <t>TUG, 10m歩行速度, 認知機能</t>
        </is>
      </c>
      <c r="AF74" s="3" t="inlineStr">
        <is>
          <t>決まっている</t>
        </is>
      </c>
      <c r="AG74" s="3" t="inlineStr">
        <is>
          <t>認知機能は術後4～6日。TUG、10m歩行は術後13～15日。</t>
        </is>
      </c>
      <c r="AI74" s="3" t="inlineStr">
        <is>
          <t>下肢筋力強化, バランス練習, 歩行練習, 歩容改善, 起立、着座動作練習, 環境調整, 補助具、装具の適正化, 認知面への介入, 行動面への介入, 教育、指導</t>
        </is>
      </c>
    </row>
    <row r="75" ht="22.5" customHeight="1">
      <c r="A75" s="32" t="n">
        <v>46091.52250395833</v>
      </c>
      <c r="B75" s="3" t="inlineStr">
        <is>
          <t>外川　慎吾</t>
        </is>
      </c>
      <c r="C75" s="3" t="inlineStr">
        <is>
          <t>公立学校共済組合　関東中央病院</t>
        </is>
      </c>
      <c r="D75" s="3" t="inlineStr">
        <is>
          <t>東京都</t>
        </is>
      </c>
      <c r="E75" s="3" t="inlineStr">
        <is>
          <t>togawa1228@woody.ocn.ne.jp</t>
        </is>
      </c>
      <c r="F75" s="3" t="inlineStr">
        <is>
          <t>リハビリテーション室／理学療法士</t>
        </is>
      </c>
      <c r="G75" s="3" t="n">
        <v>57</v>
      </c>
      <c r="H75" s="3" t="n">
        <v>9</v>
      </c>
      <c r="I75" s="3" t="n">
        <v>0</v>
      </c>
      <c r="J75" s="3" t="inlineStr">
        <is>
          <t>届け出をしておらず、検討もしていない</t>
        </is>
      </c>
      <c r="K75" s="3" t="inlineStr">
        <is>
          <t>関節可動域運動, 筋力増強運動, DVT予防, ポジショニング, 自主運動指導, 術後リハビリテーションのオリエンテーション, 離床（例：車椅子移乗,立位,歩行など）</t>
        </is>
      </c>
      <c r="L75" s="3" t="inlineStr">
        <is>
          <t>全症例の0％〜24％程度</t>
        </is>
      </c>
      <c r="N75" s="3" t="inlineStr">
        <is>
          <t>全症例の25％〜49％程度</t>
        </is>
      </c>
      <c r="P75" s="3" t="inlineStr">
        <is>
          <t>全症例の25％〜49％程度</t>
        </is>
      </c>
      <c r="R75" s="3" t="inlineStr">
        <is>
          <t>全症例の0％〜24％程度</t>
        </is>
      </c>
      <c r="T75" s="3" t="inlineStr">
        <is>
          <t>握力, 歩行速度</t>
        </is>
      </c>
      <c r="V75" s="3" t="inlineStr">
        <is>
          <t>認知機能, 握力</t>
        </is>
      </c>
      <c r="X75" s="3" t="inlineStr">
        <is>
          <t>立ち上がりテスト</t>
        </is>
      </c>
      <c r="Z75" s="3" t="inlineStr">
        <is>
          <t>Barthel Index（BI）</t>
        </is>
      </c>
      <c r="AB75" s="3" t="inlineStr">
        <is>
          <t>HDS-R</t>
        </is>
      </c>
      <c r="AD75" s="3" t="inlineStr">
        <is>
          <t>認知機能, 過去の転倒歴, 既往疾患の有無（脳血管疾患、パーキンソン病など）</t>
        </is>
      </c>
      <c r="AF75" s="3" t="inlineStr">
        <is>
          <t>決まっている</t>
        </is>
      </c>
      <c r="AG75" s="3" t="inlineStr">
        <is>
          <t>過去の転倒歴、既往歴は術前に聴取、把握
認知機能は術後2週間で実施</t>
        </is>
      </c>
      <c r="AI75" s="3" t="inlineStr">
        <is>
          <t>下肢筋力強化, バランス練習, 歩行練習, 歩容改善, 補助具、装具の適正化, 認知面への介入</t>
        </is>
      </c>
    </row>
    <row r="76" ht="22.5" customHeight="1">
      <c r="A76" s="32" t="n">
        <v>46091.57318008102</v>
      </c>
      <c r="B76" s="3" t="inlineStr">
        <is>
          <t>漣　佳記</t>
        </is>
      </c>
      <c r="C76" s="3" t="inlineStr">
        <is>
          <t>神戸掖済会病院</t>
        </is>
      </c>
      <c r="D76" s="3" t="inlineStr">
        <is>
          <t>兵庫県</t>
        </is>
      </c>
      <c r="E76" s="3" t="inlineStr">
        <is>
          <t>kobeekisaireha@yahoo.co.jp</t>
        </is>
      </c>
      <c r="F76" s="3" t="inlineStr">
        <is>
          <t>リハビリテーション部　理学療法士</t>
        </is>
      </c>
      <c r="G76" s="3" t="n">
        <v>221</v>
      </c>
      <c r="H76" s="3" t="n">
        <v>20</v>
      </c>
      <c r="I76" s="3" t="n">
        <v>0</v>
      </c>
      <c r="J76" s="3" t="inlineStr">
        <is>
          <t>届け出はしていないが、現在検討中である</t>
        </is>
      </c>
      <c r="K76" s="3" t="inlineStr">
        <is>
          <t>実施していない</t>
        </is>
      </c>
      <c r="L76" s="3" t="inlineStr">
        <is>
          <t>全症例の25％〜49％程度</t>
        </is>
      </c>
      <c r="N76" s="3" t="inlineStr">
        <is>
          <t>全症例の25％〜49％程度</t>
        </is>
      </c>
      <c r="P76" s="3" t="inlineStr">
        <is>
          <t>全症例の25％〜49％程度</t>
        </is>
      </c>
      <c r="R76" s="3" t="inlineStr">
        <is>
          <t>全症例の25％〜49％程度</t>
        </is>
      </c>
      <c r="T76" s="3" t="inlineStr">
        <is>
          <t>握力, 膝伸展筋力, SPPB, TUG, 下腿周径</t>
        </is>
      </c>
      <c r="V76" s="3" t="inlineStr">
        <is>
          <t>TUG, 認知機能, 握力</t>
        </is>
      </c>
      <c r="X76" s="3" t="inlineStr">
        <is>
          <t>実施していない</t>
        </is>
      </c>
      <c r="Z76" s="3" t="inlineStr">
        <is>
          <t>Barthel Index（BI）</t>
        </is>
      </c>
      <c r="AB76" s="3" t="inlineStr">
        <is>
          <t>MMSE</t>
        </is>
      </c>
      <c r="AD76" s="3" t="inlineStr">
        <is>
          <t>TUG, 認知機能, 既往疾患の有無（脳血管疾患、パーキンソン病など）</t>
        </is>
      </c>
      <c r="AF76" s="3" t="inlineStr">
        <is>
          <t>決まっている</t>
        </is>
      </c>
      <c r="AG76" s="3" t="inlineStr">
        <is>
          <t>術後７日目、14日目</t>
        </is>
      </c>
      <c r="AI76" s="3" t="inlineStr">
        <is>
          <t>下肢筋力強化, バランス練習, 歩行練習, 起立、着座動作練習, 補助具、装具の適正化</t>
        </is>
      </c>
    </row>
    <row r="77" ht="22.5" customHeight="1">
      <c r="A77" s="32" t="n">
        <v>46091.57507942129</v>
      </c>
      <c r="B77" s="3" t="inlineStr">
        <is>
          <t>横地正伸</t>
        </is>
      </c>
      <c r="C77" s="3" t="inlineStr">
        <is>
          <t>竹田綜合病院</t>
        </is>
      </c>
      <c r="D77" s="3" t="inlineStr">
        <is>
          <t>福島県</t>
        </is>
      </c>
      <c r="E77" s="3" t="inlineStr">
        <is>
          <t>kaname@takeda.or.jp</t>
        </is>
      </c>
      <c r="G77" s="3" t="n">
        <v>246</v>
      </c>
      <c r="H77" s="3" t="n">
        <v>12</v>
      </c>
      <c r="I77" s="3" t="n">
        <v>7</v>
      </c>
      <c r="J77" s="3" t="inlineStr">
        <is>
          <t>届け出はしていないが、現在検討中である</t>
        </is>
      </c>
      <c r="K77" s="3" t="inlineStr">
        <is>
          <t>関節可動域運動, 筋力増強運動, DVT予防, リラクセーション, ポジショニング, 自主運動指導, 術後リハビリテーションのオリエンテーション, 離床（例：車椅子移乗,立位,歩行など）</t>
        </is>
      </c>
      <c r="L77" s="3" t="inlineStr">
        <is>
          <t>全症例の75％〜100％程度</t>
        </is>
      </c>
      <c r="N77" s="3" t="inlineStr">
        <is>
          <t>全症例の0％〜24％程度</t>
        </is>
      </c>
      <c r="P77" s="3" t="inlineStr">
        <is>
          <t>全症例の0％〜24％程度</t>
        </is>
      </c>
      <c r="R77" s="3" t="inlineStr">
        <is>
          <t>全症例の0％〜24％程度</t>
        </is>
      </c>
      <c r="T77" s="3" t="inlineStr">
        <is>
          <t>握力, 下腿周径</t>
        </is>
      </c>
      <c r="V77" s="3" t="inlineStr">
        <is>
          <t>握力</t>
        </is>
      </c>
      <c r="X77" s="3" t="inlineStr">
        <is>
          <t>立ち上がりテスト, 2ステップテスト</t>
        </is>
      </c>
      <c r="Z77" s="3" t="inlineStr">
        <is>
          <t>FIM</t>
        </is>
      </c>
      <c r="AB77" s="3" t="inlineStr">
        <is>
          <t>HDS-R</t>
        </is>
      </c>
      <c r="AD77" s="3" t="inlineStr">
        <is>
          <t>TUG, 10m歩行速度, Berg Balance Scale（BBS）</t>
        </is>
      </c>
      <c r="AF77" s="3" t="inlineStr">
        <is>
          <t>決まっていない</t>
        </is>
      </c>
      <c r="AI77" s="3" t="inlineStr">
        <is>
          <t>下肢筋力強化, バランス練習, 歩行練習, 歩容改善, 起立、着座動作練習, 環境調整, 補助具、装具の適正化, 認知面への介入, 行動面への介入, 教育、指導</t>
        </is>
      </c>
    </row>
    <row r="78" ht="22.5" customHeight="1">
      <c r="A78" s="32" t="n">
        <v>46091.74024521991</v>
      </c>
      <c r="B78" s="3" t="inlineStr">
        <is>
          <t>中村章喜</t>
        </is>
      </c>
      <c r="C78" s="3" t="inlineStr">
        <is>
          <t>名鉄病院</t>
        </is>
      </c>
      <c r="D78" s="3" t="inlineStr">
        <is>
          <t>岐阜県</t>
        </is>
      </c>
      <c r="E78" s="3" t="inlineStr">
        <is>
          <t>akiyochi0922@gmail.com</t>
        </is>
      </c>
      <c r="F78" s="3" t="inlineStr">
        <is>
          <t>リハビリテーション科　理学療法士</t>
        </is>
      </c>
      <c r="G78" s="3" t="n">
        <v>92</v>
      </c>
      <c r="H78" s="3" t="n">
        <v>5</v>
      </c>
      <c r="I78" s="3" t="n">
        <v>6</v>
      </c>
      <c r="J78" s="3" t="inlineStr">
        <is>
          <t>届け出をしておらず、検討もしていない</t>
        </is>
      </c>
      <c r="K78" s="3" t="inlineStr">
        <is>
          <t>実施していない</t>
        </is>
      </c>
      <c r="L78" s="3" t="inlineStr">
        <is>
          <t>全症例の25％〜49％程度</t>
        </is>
      </c>
      <c r="N78" s="3" t="inlineStr">
        <is>
          <t>全症例の25％〜49％程度</t>
        </is>
      </c>
      <c r="P78" s="3" t="inlineStr">
        <is>
          <t>全症例の0％〜24％程度</t>
        </is>
      </c>
      <c r="R78" s="3" t="inlineStr">
        <is>
          <t>全症例の0％〜24％程度</t>
        </is>
      </c>
      <c r="T78" s="3" t="inlineStr">
        <is>
          <t>5回椅子立ち上がりテスト, SPPB, TUG</t>
        </is>
      </c>
      <c r="V78" s="3" t="inlineStr">
        <is>
          <t>TUG, 握力, SPPB、歩行速度、FRT、立ち上がりテスト</t>
        </is>
      </c>
      <c r="X78" s="3" t="inlineStr">
        <is>
          <t>立ち上がりテスト</t>
        </is>
      </c>
      <c r="Z78" s="3" t="inlineStr">
        <is>
          <t>Barthel Index（BI）, FIM</t>
        </is>
      </c>
      <c r="AB78" s="3" t="inlineStr">
        <is>
          <t>MMSE, HDS-R</t>
        </is>
      </c>
      <c r="AD78" s="3" t="inlineStr">
        <is>
          <t>実施していない</t>
        </is>
      </c>
      <c r="AE78" s="3" t="inlineStr">
        <is>
          <t>組織的活動を実施していない。存じあげなかった。</t>
        </is>
      </c>
      <c r="AF78" s="3" t="inlineStr">
        <is>
          <t>わからない</t>
        </is>
      </c>
      <c r="AI78" s="3" t="inlineStr">
        <is>
          <t>下肢筋力強化, バランス練習, 歩行練習</t>
        </is>
      </c>
    </row>
    <row r="79" ht="22.5" customHeight="1">
      <c r="A79" s="32" t="n">
        <v>46091.77159070602</v>
      </c>
      <c r="B79" s="3" t="inlineStr">
        <is>
          <t>小寺　一寿</t>
        </is>
      </c>
      <c r="C79" s="3" t="inlineStr">
        <is>
          <t>社会医療法人　杏嶺会　一宮西病院</t>
        </is>
      </c>
      <c r="D79" s="3" t="inlineStr">
        <is>
          <t>愛知県</t>
        </is>
      </c>
      <c r="E79" s="3" t="inlineStr">
        <is>
          <t>a-takahashi@anzu.or.jp</t>
        </is>
      </c>
      <c r="F79" s="3" t="inlineStr">
        <is>
          <t>リハビリテーション技術部/理学療法士</t>
        </is>
      </c>
      <c r="G79" s="3" t="n">
        <v>410</v>
      </c>
      <c r="H79" s="3" t="n">
        <v>28</v>
      </c>
      <c r="I79" s="3" t="n">
        <v>3</v>
      </c>
      <c r="J79" s="3" t="inlineStr">
        <is>
          <t>届け出はしているが、算定していない</t>
        </is>
      </c>
      <c r="K79" s="3" t="inlineStr">
        <is>
          <t>関節可動域運動, 筋力増強運動, DVT予防, リラクセーション, ポジショニング, 自主運動指導, 術後リハビリテーションのオリエンテーション</t>
        </is>
      </c>
      <c r="L79" s="3" t="inlineStr">
        <is>
          <t>全症例の25％〜49％程度</t>
        </is>
      </c>
      <c r="N79" s="3" t="inlineStr">
        <is>
          <t>全症例の0％〜24％程度</t>
        </is>
      </c>
      <c r="P79" s="3" t="inlineStr">
        <is>
          <t>全症例の0％〜24％程度</t>
        </is>
      </c>
      <c r="R79" s="3" t="inlineStr">
        <is>
          <t>全症例の0％〜24％程度</t>
        </is>
      </c>
      <c r="T79" s="3" t="inlineStr">
        <is>
          <t>握力, 下腿周径</t>
        </is>
      </c>
      <c r="V79" s="3" t="inlineStr">
        <is>
          <t>認知機能, 握力</t>
        </is>
      </c>
      <c r="X79" s="3" t="inlineStr">
        <is>
          <t>実施していない</t>
        </is>
      </c>
      <c r="Z79" s="3" t="inlineStr">
        <is>
          <t>Barthel Index（BI）, FIM</t>
        </is>
      </c>
      <c r="AB79" s="3" t="inlineStr">
        <is>
          <t>HDS-R, AMTS</t>
        </is>
      </c>
      <c r="AD79" s="3" t="inlineStr">
        <is>
          <t>認知機能, 既往疾患の有無（脳血管疾患、パーキンソン病など）</t>
        </is>
      </c>
      <c r="AF79" s="3" t="inlineStr">
        <is>
          <t>決まっていない</t>
        </is>
      </c>
      <c r="AI79" s="3" t="inlineStr">
        <is>
          <t>下肢筋力強化, バランス練習, 歩行練習, 歩容改善, 起立、着座動作練習, 環境調整, 補助具、装具の適正化, 認知面への介入, 教育、指導</t>
        </is>
      </c>
    </row>
    <row r="80" ht="22.5" customHeight="1">
      <c r="A80" s="32" t="n">
        <v>46091.96751252315</v>
      </c>
      <c r="B80" s="3" t="inlineStr">
        <is>
          <t>鈴木　悠太</t>
        </is>
      </c>
      <c r="C80" s="3" t="inlineStr">
        <is>
          <t>石巻市立病院</t>
        </is>
      </c>
      <c r="D80" s="3" t="inlineStr">
        <is>
          <t>宮城県</t>
        </is>
      </c>
      <c r="E80" s="3" t="inlineStr">
        <is>
          <t>rehabili@ishinomaki-city-hospital.jp</t>
        </is>
      </c>
      <c r="F80" s="3" t="inlineStr">
        <is>
          <t>リハビリテーション科/理学療法士</t>
        </is>
      </c>
      <c r="G80" s="3" t="n">
        <v>90</v>
      </c>
      <c r="H80" s="3" t="n">
        <v>9</v>
      </c>
      <c r="I80" s="3" t="n">
        <v>4</v>
      </c>
      <c r="J80" s="3" t="inlineStr">
        <is>
          <t>届け出をしておらず、検討もしていない</t>
        </is>
      </c>
      <c r="K80" s="3" t="inlineStr">
        <is>
          <t>関節可動域運動, 筋力増強運動, DVT予防, 自主運動指導, 術後リハビリテーションのオリエンテーション, 離床（例：車椅子移乗,立位,歩行など）</t>
        </is>
      </c>
      <c r="L80" s="3" t="inlineStr">
        <is>
          <t>全症例の25％〜49％程度</t>
        </is>
      </c>
      <c r="N80" s="3" t="inlineStr">
        <is>
          <t>全症例の0％〜24％程度</t>
        </is>
      </c>
      <c r="P80" s="3" t="inlineStr">
        <is>
          <t>全症例の0％〜24％程度</t>
        </is>
      </c>
      <c r="R80" s="3" t="inlineStr">
        <is>
          <t>全症例の0％〜24％程度</t>
        </is>
      </c>
      <c r="T80" s="3" t="inlineStr">
        <is>
          <t>握力, 膝伸展筋力, 歩行速度, TUG, 6分間歩行距離, 開眼片脚立位時間</t>
        </is>
      </c>
      <c r="V80" s="3" t="inlineStr">
        <is>
          <t>TUG, 6分間歩行距離, 認知機能, 握力</t>
        </is>
      </c>
      <c r="X80" s="3" t="inlineStr">
        <is>
          <t>実施していない</t>
        </is>
      </c>
      <c r="Y80" s="3" t="inlineStr">
        <is>
          <t>特になし</t>
        </is>
      </c>
      <c r="Z80" s="3" t="inlineStr">
        <is>
          <t>Barthel Index（BI）, FIM</t>
        </is>
      </c>
      <c r="AB80" s="3" t="inlineStr">
        <is>
          <t>MMSE, HDS-R, AMTS</t>
        </is>
      </c>
      <c r="AD80" s="3" t="inlineStr">
        <is>
          <t>定量的な下肢筋力測定, 開眼片脚立位時間, TUG, 10m歩行速度, Berg Balance Scale（BBS）, SPPB、Functional Reach Test（FRT）, 深部感覚評価, 認知機能, 転倒恐怖感, 過去の転倒歴, 既往疾患の有無（脳血管疾患、パーキンソン病など）, 薬剤（向精神薬、降圧薬、利尿薬、ポリファーマシーなど）, ベッド周囲および病室環境</t>
        </is>
      </c>
      <c r="AF80" s="3" t="inlineStr">
        <is>
          <t>決まっていない</t>
        </is>
      </c>
      <c r="AH80" s="3" t="inlineStr">
        <is>
          <t>特になし</t>
        </is>
      </c>
      <c r="AI80" s="3" t="inlineStr">
        <is>
          <t>下肢筋力強化, バランス練習, 歩行練習, 歩容改善, 起立、着座動作練習, 環境調整, 補助具、装具の適正化, 薬剤調整, 教育、指導</t>
        </is>
      </c>
    </row>
    <row r="81" ht="22.5" customHeight="1">
      <c r="A81" s="32" t="n">
        <v>46092.46224650463</v>
      </c>
      <c r="B81" s="3" t="inlineStr">
        <is>
          <t>石井　光治</t>
        </is>
      </c>
      <c r="C81" s="3" t="inlineStr">
        <is>
          <t>静岡済生会総合病院</t>
        </is>
      </c>
      <c r="D81" s="3" t="inlineStr">
        <is>
          <t>静岡県</t>
        </is>
      </c>
      <c r="E81" s="3" t="inlineStr">
        <is>
          <t>iryohisho@siz.saiseikai.or.jp</t>
        </is>
      </c>
      <c r="F81" s="3" t="inlineStr">
        <is>
          <t>リハビリテーション科／理学療法士</t>
        </is>
      </c>
      <c r="G81" s="3" t="n">
        <v>233</v>
      </c>
      <c r="H81" s="3" t="n">
        <v>29</v>
      </c>
      <c r="I81" s="3" t="n">
        <v>11</v>
      </c>
      <c r="J81" s="3" t="inlineStr">
        <is>
          <t>現在、算定している</t>
        </is>
      </c>
      <c r="K81" s="3" t="inlineStr">
        <is>
          <t>DVT予防, ポジショニング, 自主運動指導, 術後リハビリテーションのオリエンテーション, 全身状態評価</t>
        </is>
      </c>
      <c r="L81" s="3" t="inlineStr">
        <is>
          <t>全症例の75％〜100％程度</t>
        </is>
      </c>
      <c r="M81" s="3" t="inlineStr">
        <is>
          <t>現在統一した対策はとっていない。まずは、クリニカルパスのアウトカム項目を変更し、術翌日立位ができなかった原因のより正確な情報をとれるような体制を整備しているところである。今後、その情報をもとにクリニカルパスなどを活用して疼痛コントロールをはかり術翌日の離床の促進をはかっていきたいと考えている。</t>
        </is>
      </c>
      <c r="N81" s="3" t="inlineStr">
        <is>
          <t>全症例の0％〜24％程度</t>
        </is>
      </c>
      <c r="P81" s="3" t="inlineStr">
        <is>
          <t>全症例の0％〜24％程度</t>
        </is>
      </c>
      <c r="R81" s="3" t="inlineStr">
        <is>
          <t>全症例の0％〜24％程度</t>
        </is>
      </c>
      <c r="T81" s="3" t="inlineStr">
        <is>
          <t>握力, 膝伸展筋力</t>
        </is>
      </c>
      <c r="V81" s="3" t="inlineStr">
        <is>
          <t>認知機能, 握力</t>
        </is>
      </c>
      <c r="X81" s="3" t="inlineStr">
        <is>
          <t>実施していない</t>
        </is>
      </c>
      <c r="Y81" s="3" t="inlineStr">
        <is>
          <t>術後当院入院期間中では、パフォーマンステストが実施困難な機能・ADLの方がほとんどである</t>
        </is>
      </c>
      <c r="Z81" s="3" t="inlineStr">
        <is>
          <t>Barthel Index（BI）</t>
        </is>
      </c>
      <c r="AB81" s="3" t="inlineStr">
        <is>
          <t>MMSE, HDS-R</t>
        </is>
      </c>
      <c r="AD81" s="3" t="inlineStr">
        <is>
          <t>実施していない</t>
        </is>
      </c>
      <c r="AE81" s="3" t="inlineStr">
        <is>
          <t>各担当療法士が患者の状態やADLに合わせて適宜転倒リスク評価を行っていました。</t>
        </is>
      </c>
      <c r="AI81" s="3" t="inlineStr">
        <is>
          <t>下肢筋力強化, バランス練習, 歩行練習, 歩容改善, 起立、着座動作練習, 環境調整, 補助具、装具の適正化</t>
        </is>
      </c>
    </row>
    <row r="82" ht="22.5" customHeight="1">
      <c r="A82" s="32" t="n">
        <v>46092.502575</v>
      </c>
      <c r="B82" s="3" t="inlineStr">
        <is>
          <t>江崎　千織</t>
        </is>
      </c>
      <c r="C82" s="3" t="inlineStr">
        <is>
          <t>独立行政法人労働者健康安全機構　香川労災病院</t>
        </is>
      </c>
      <c r="D82" s="3" t="inlineStr">
        <is>
          <t>香川県</t>
        </is>
      </c>
      <c r="E82" s="3" t="inlineStr">
        <is>
          <t>reha@kagawah.johas.go.jp</t>
        </is>
      </c>
      <c r="F82" s="3" t="inlineStr">
        <is>
          <t>森本　勝哉</t>
        </is>
      </c>
      <c r="G82" s="3" t="n">
        <v>86</v>
      </c>
      <c r="H82" s="3" t="n">
        <v>3</v>
      </c>
      <c r="I82" s="3" t="n">
        <v>0</v>
      </c>
      <c r="J82" s="3" t="inlineStr">
        <is>
          <t>届け出はしていないが、現在検討中である</t>
        </is>
      </c>
      <c r="K82" s="3" t="inlineStr">
        <is>
          <t>関節可動域運動, 筋力増強運動, 呼吸リハビリテーション, DVT予防, リラクセーション, ポジショニング, 自主運動指導, 術後リハビリテーションのオリエンテーション, 離床（例：車椅子移乗,立位,歩行など）</t>
        </is>
      </c>
      <c r="L82" s="3" t="inlineStr">
        <is>
          <t>全症例の50％〜74％程度</t>
        </is>
      </c>
      <c r="M82" s="3" t="inlineStr">
        <is>
          <t>内服調整、リハビリ時間調整、愛護的ROM-ex、アイシング</t>
        </is>
      </c>
      <c r="N82" s="3" t="inlineStr">
        <is>
          <t>全症例の25％〜49％程度</t>
        </is>
      </c>
      <c r="P82" s="3" t="inlineStr">
        <is>
          <t>全症例の25％〜49％程度</t>
        </is>
      </c>
      <c r="R82" s="3" t="inlineStr">
        <is>
          <t>全症例の0％〜24％程度</t>
        </is>
      </c>
      <c r="T82" s="3" t="inlineStr">
        <is>
          <t>握力, 膝伸展筋力, 歩行速度, TUG, 開眼片脚立位時間, 下腿周径</t>
        </is>
      </c>
      <c r="V82" s="3" t="inlineStr">
        <is>
          <t>TUG, 認知機能, 握力</t>
        </is>
      </c>
      <c r="X82" s="3" t="inlineStr">
        <is>
          <t>立ち上がりテスト, 2ステップテスト, ロコモ25（質問票）</t>
        </is>
      </c>
      <c r="Z82" s="3" t="inlineStr">
        <is>
          <t>Barthel Index（BI）</t>
        </is>
      </c>
      <c r="AB82" s="3" t="inlineStr">
        <is>
          <t>AMTS</t>
        </is>
      </c>
      <c r="AD82" s="3" t="inlineStr">
        <is>
          <t>開眼片脚立位時間, Berg Balance Scale（BBS）, 深部感覚評価, 認知機能, 過去の転倒歴, 既往疾患の有無（脳血管疾患、パーキンソン病など）, ベッド周囲および病室環境</t>
        </is>
      </c>
      <c r="AF82" s="3" t="inlineStr">
        <is>
          <t>決まっていない</t>
        </is>
      </c>
      <c r="AH82" s="3" t="inlineStr">
        <is>
          <t>術後せん妄等あり、患者一人一人に応じて実施。できるだけ長期評価を心がけている。</t>
        </is>
      </c>
      <c r="AI82" s="3" t="inlineStr">
        <is>
          <t>下肢筋力強化, バランス練習, 歩行練習, 歩容改善, 起立、着座動作練習, 環境調整, 補助具、装具の適正化, 認知面への介入, 教育、指導</t>
        </is>
      </c>
    </row>
    <row r="83" ht="22.5" customHeight="1">
      <c r="A83" s="32" t="n">
        <v>46092.5615683912</v>
      </c>
      <c r="B83" s="3" t="inlineStr">
        <is>
          <t>三木　哲郎</t>
        </is>
      </c>
      <c r="C83" s="3" t="inlineStr">
        <is>
          <t>医療法人住友別子病院</t>
        </is>
      </c>
      <c r="D83" s="3" t="inlineStr">
        <is>
          <t>愛媛県</t>
        </is>
      </c>
      <c r="E83" s="3" t="inlineStr">
        <is>
          <t>tetsuro_miki@ni.sbh.gr.jp</t>
        </is>
      </c>
      <c r="F83" s="3" t="inlineStr">
        <is>
          <t>リハビリテーション部</t>
        </is>
      </c>
      <c r="G83" s="3" t="n">
        <v>211</v>
      </c>
      <c r="H83" s="3" t="n">
        <v>27</v>
      </c>
      <c r="I83" s="3" t="n">
        <v>13</v>
      </c>
      <c r="J83" s="3" t="inlineStr">
        <is>
          <t>届け出をしておらず、検討もしていない</t>
        </is>
      </c>
      <c r="K83" s="3" t="inlineStr">
        <is>
          <t>関節可動域運動, 筋力増強運動, DVT予防, ポジショニング</t>
        </is>
      </c>
      <c r="L83" s="3" t="inlineStr">
        <is>
          <t>全症例の75％〜100％程度</t>
        </is>
      </c>
      <c r="M83" s="3" t="inlineStr">
        <is>
          <t>痛みが少なくなるような動作指導・介助方法の実施</t>
        </is>
      </c>
      <c r="N83" s="3" t="inlineStr">
        <is>
          <t>全症例の0％〜24％程度</t>
        </is>
      </c>
      <c r="P83" s="3" t="inlineStr">
        <is>
          <t>全症例の0％〜24％程度</t>
        </is>
      </c>
      <c r="R83" s="3" t="inlineStr">
        <is>
          <t>全症例の0％〜24％程度</t>
        </is>
      </c>
      <c r="T83" s="3" t="inlineStr">
        <is>
          <t>握力, 膝伸展筋力, 5回椅子立ち上がりテスト, 歩行速度, TUG, 6分間歩行距離, 開眼片脚立位時間, 骨格筋量指数（SMI）</t>
        </is>
      </c>
      <c r="V83" s="3" t="inlineStr">
        <is>
          <t>TUG, 6分間歩行距離, 握力</t>
        </is>
      </c>
      <c r="X83" s="3" t="inlineStr">
        <is>
          <t>立ち上がりテスト, 2ステップテスト, ロコモ25（質問票）</t>
        </is>
      </c>
      <c r="Z83" s="3" t="inlineStr">
        <is>
          <t>Barthel Index（BI）, FIM</t>
        </is>
      </c>
      <c r="AB83" s="3" t="inlineStr">
        <is>
          <t>MMSE, HDS-R, CBA</t>
        </is>
      </c>
      <c r="AD83" s="3" t="inlineStr">
        <is>
          <t>定量的な下肢筋力測定, 開眼片脚立位時間, TUG, 10m歩行速度, 5回椅子立ち上がりテスト, 過去の転倒歴, 既往疾患の有無（脳血管疾患、パーキンソン病など）, 薬剤（向精神薬、降圧薬、利尿薬、ポリファーマシーなど）, ベッド周囲および病室環境</t>
        </is>
      </c>
      <c r="AF83" s="3" t="inlineStr">
        <is>
          <t>決まっていない</t>
        </is>
      </c>
      <c r="AH83" s="3" t="inlineStr">
        <is>
          <t>荷重制限・患者の歩行獲得時期の差のため</t>
        </is>
      </c>
      <c r="AI83" s="3" t="inlineStr">
        <is>
          <t>下肢筋力強化, バランス練習, 歩行練習, 歩容改善, 起立、着座動作練習, 環境調整, 補助具、装具の適正化, 認知面への介入, 教育、指導</t>
        </is>
      </c>
    </row>
    <row r="84" ht="22.5" customHeight="1">
      <c r="A84" s="32" t="n">
        <v>46092.61727921297</v>
      </c>
      <c r="B84" s="3" t="inlineStr">
        <is>
          <t>井川晃一</t>
        </is>
      </c>
      <c r="C84" s="3" t="inlineStr">
        <is>
          <t>社会医療法人　石川記念会　HITO病院</t>
        </is>
      </c>
      <c r="D84" s="3" t="inlineStr">
        <is>
          <t>愛媛県</t>
        </is>
      </c>
      <c r="E84" s="3" t="inlineStr">
        <is>
          <t>ikawa.kouichi@hito-medical.net</t>
        </is>
      </c>
      <c r="F84" s="3" t="inlineStr">
        <is>
          <t>理学療法士</t>
        </is>
      </c>
      <c r="G84" s="3" t="n">
        <v>119</v>
      </c>
      <c r="H84" s="3" t="n">
        <v>25</v>
      </c>
      <c r="I84" s="3" t="n">
        <v>17</v>
      </c>
      <c r="J84" s="3" t="inlineStr">
        <is>
          <t>現在、算定している</t>
        </is>
      </c>
      <c r="K84" s="3" t="inlineStr">
        <is>
          <t>関節可動域運動, 筋力増強運動, 呼吸リハビリテーション, DVT予防, ポジショニング, 自主運動指導, 離床（例：車椅子移乗,立位,歩行など）</t>
        </is>
      </c>
      <c r="L84" s="3" t="inlineStr">
        <is>
          <t>全症例の0％〜24％程度</t>
        </is>
      </c>
      <c r="N84" s="3" t="inlineStr">
        <is>
          <t>全症例の0％〜24％程度</t>
        </is>
      </c>
      <c r="P84" s="3" t="inlineStr">
        <is>
          <t>全症例の0％〜24％程度</t>
        </is>
      </c>
      <c r="R84" s="3" t="inlineStr">
        <is>
          <t>全症例の0％〜24％程度</t>
        </is>
      </c>
      <c r="T84" s="3" t="inlineStr">
        <is>
          <t>実施していない</t>
        </is>
      </c>
      <c r="U84" s="3" t="inlineStr">
        <is>
          <t>実施いている項目はあるが、サルコペ二アの評価を目的としては行っていない。何故していないか、理由としては無いです。見直し予定ではあります。</t>
        </is>
      </c>
      <c r="V84" s="3" t="inlineStr">
        <is>
          <t>実施していない</t>
        </is>
      </c>
      <c r="W84" s="3" t="inlineStr">
        <is>
          <t>実施いている項目はあるが、フレイルの評価を目的としては行っていない。何故していないか、理由としては無いです。見直し予定ではあります。</t>
        </is>
      </c>
      <c r="X84" s="3" t="inlineStr">
        <is>
          <t>実施していない</t>
        </is>
      </c>
      <c r="Y84" s="3" t="inlineStr">
        <is>
          <t>健康教室などでは行っているが、入院患者に実施していない。特に理由はない。</t>
        </is>
      </c>
      <c r="Z84" s="3" t="inlineStr">
        <is>
          <t>Barthel Index（BI）, FIM</t>
        </is>
      </c>
      <c r="AB84" s="3" t="inlineStr">
        <is>
          <t>HDS-R</t>
        </is>
      </c>
      <c r="AD84" s="3" t="inlineStr">
        <is>
          <t>定量的な下肢筋力測定, 10m歩行速度, 5回椅子立ち上がりテスト</t>
        </is>
      </c>
      <c r="AF84" s="3" t="inlineStr">
        <is>
          <t>決まっている</t>
        </is>
      </c>
      <c r="AG84" s="3" t="inlineStr">
        <is>
          <t>1週間毎　退院時</t>
        </is>
      </c>
      <c r="AI84" s="3" t="inlineStr">
        <is>
          <t>下肢筋力強化, バランス練習, 歩行練習, 起立、着座動作練習, 環境調整, 認知面への介入, 薬剤調整, 教育、指導</t>
        </is>
      </c>
    </row>
    <row r="85" ht="22.5" customHeight="1">
      <c r="A85" s="32" t="n">
        <v>46092.74359490741</v>
      </c>
      <c r="B85" s="3" t="inlineStr">
        <is>
          <t>理学療法士　篠原晶子</t>
        </is>
      </c>
      <c r="C85" s="3" t="inlineStr">
        <is>
          <t>重工記念長崎病院</t>
        </is>
      </c>
      <c r="D85" s="3" t="inlineStr">
        <is>
          <t>長崎県</t>
        </is>
      </c>
      <c r="E85" s="3" t="inlineStr">
        <is>
          <t>akiko_shinohara@jmnh.or.jp</t>
        </is>
      </c>
      <c r="F85" s="3" t="inlineStr">
        <is>
          <t>リハビリテーション科</t>
        </is>
      </c>
      <c r="G85" s="3" t="n">
        <v>65</v>
      </c>
      <c r="H85" s="3" t="n">
        <v>18</v>
      </c>
      <c r="I85" s="3" t="n">
        <v>6</v>
      </c>
      <c r="J85" s="3" t="inlineStr">
        <is>
          <t>届け出をしておらず、検討もしていない</t>
        </is>
      </c>
      <c r="K85" s="3" t="inlineStr">
        <is>
          <t>関節可動域運動, 筋力増強運動, DVT予防, リラクセーション, ポジショニング, 自主運動指導, 術後リハビリテーションのオリエンテーション, 離床（例：車椅子移乗,立位,歩行など）</t>
        </is>
      </c>
      <c r="L85" s="3" t="inlineStr">
        <is>
          <t>全症例の25％〜49％程度</t>
        </is>
      </c>
      <c r="N85" s="3" t="inlineStr">
        <is>
          <t>全症例の25％〜49％程度</t>
        </is>
      </c>
      <c r="P85" s="3" t="inlineStr">
        <is>
          <t>全症例の0％〜24％程度</t>
        </is>
      </c>
      <c r="R85" s="3" t="inlineStr">
        <is>
          <t>全症例の0％〜24％程度</t>
        </is>
      </c>
      <c r="T85" s="3" t="inlineStr">
        <is>
          <t>握力, 5回椅子立ち上がりテスト, 歩行速度, 6分間歩行距離, 開眼片脚立位時間, 下腿周径, SARC-F</t>
        </is>
      </c>
      <c r="V85" s="3" t="inlineStr">
        <is>
          <t>握力</t>
        </is>
      </c>
      <c r="X85" s="3" t="inlineStr">
        <is>
          <t>立ち上がりテスト</t>
        </is>
      </c>
      <c r="Z85" s="3" t="inlineStr">
        <is>
          <t>FIM</t>
        </is>
      </c>
      <c r="AB85" s="3" t="inlineStr">
        <is>
          <t>MMSE, HDS-R</t>
        </is>
      </c>
      <c r="AD85" s="3" t="inlineStr">
        <is>
          <t>定量的な下肢筋力測定, 開眼片脚立位時間, 10m歩行速度, 5回椅子立ち上がりテスト</t>
        </is>
      </c>
      <c r="AF85" s="3" t="inlineStr">
        <is>
          <t>決まっている</t>
        </is>
      </c>
      <c r="AG85" s="3" t="inlineStr">
        <is>
          <t>１週間以内</t>
        </is>
      </c>
      <c r="AI85" s="3" t="inlineStr">
        <is>
          <t>下肢筋力強化, バランス練習, 歩行練習, 歩容改善, 起立、着座動作練習, 環境調整, 補助具、装具の適正化, 認知面への介入, 行動面への介入, 薬剤調整, 教育、指導</t>
        </is>
      </c>
    </row>
    <row r="86" ht="22.5" customHeight="1">
      <c r="A86" s="32" t="n">
        <v>46093.36349690973</v>
      </c>
      <c r="B86" s="3" t="inlineStr">
        <is>
          <t>清水　幸平</t>
        </is>
      </c>
      <c r="C86" s="3" t="inlineStr">
        <is>
          <t>独立行政法人山梨県立病院機構山梨県立中央病院</t>
        </is>
      </c>
      <c r="D86" s="3" t="inlineStr">
        <is>
          <t>山梨県</t>
        </is>
      </c>
      <c r="E86" s="3" t="inlineStr">
        <is>
          <t>ariura-ggdpi@ych.pref.yamanashi.jp</t>
        </is>
      </c>
      <c r="F86" s="3" t="inlineStr">
        <is>
          <t>リハビリテーションセンター　理学療法学科　理学療法士</t>
        </is>
      </c>
      <c r="G86" s="3" t="n">
        <v>130</v>
      </c>
      <c r="H86" s="3" t="n">
        <v>15</v>
      </c>
      <c r="I86" s="3" t="n">
        <v>3</v>
      </c>
      <c r="J86" s="3" t="inlineStr">
        <is>
          <t>届け出をしておらず、検討もしていない</t>
        </is>
      </c>
      <c r="K86" s="3" t="inlineStr">
        <is>
          <t>関節可動域運動, 筋力増強運動, DVT予防, リラクセーション, ポジショニング, 自主運動指導, 術後リハビリテーションのオリエンテーション, 離床（例：車椅子移乗,立位,歩行など）</t>
        </is>
      </c>
      <c r="L86" s="3" t="inlineStr">
        <is>
          <t>全症例の25％〜49％程度</t>
        </is>
      </c>
      <c r="N86" s="3" t="inlineStr">
        <is>
          <t>全症例の0％〜24％程度</t>
        </is>
      </c>
      <c r="P86" s="3" t="inlineStr">
        <is>
          <t>全症例の0％〜24％程度</t>
        </is>
      </c>
      <c r="R86" s="3" t="inlineStr">
        <is>
          <t>全症例の0％〜24％程度</t>
        </is>
      </c>
      <c r="T86" s="3" t="inlineStr">
        <is>
          <t>実施していない</t>
        </is>
      </c>
      <c r="U86" s="3" t="inlineStr">
        <is>
          <t>理学療法士または作業療法士がサルコペニアの評価を目的に評価は実施していない</t>
        </is>
      </c>
      <c r="V86" s="3" t="inlineStr">
        <is>
          <t>認知機能, 握力</t>
        </is>
      </c>
      <c r="X86" s="3" t="inlineStr">
        <is>
          <t xml:space="preserve">実施していない, </t>
        </is>
      </c>
      <c r="Y86" s="3" t="inlineStr">
        <is>
          <t>理学療法士または作業療法士がロコモティブシンドロームの評価を目的に評価は実施していない</t>
        </is>
      </c>
      <c r="Z86" s="3" t="inlineStr">
        <is>
          <t>Barthel Index（BI）, FIM</t>
        </is>
      </c>
      <c r="AB86" s="3" t="inlineStr">
        <is>
          <t>MMSE, HDS-R</t>
        </is>
      </c>
      <c r="AD86" s="3" t="inlineStr">
        <is>
          <t>Berg Balance Scale（BBS）, SPPB、Functional Reach Test（FRT）, 5回椅子立ち上がりテスト, 認知機能, 注意障害, 遂行機能, せん妄, 転倒恐怖感, 過去の転倒歴, ベッド周囲および病室環境</t>
        </is>
      </c>
      <c r="AF86" s="3" t="inlineStr">
        <is>
          <t>決まっていない</t>
        </is>
      </c>
      <c r="AH86" s="3" t="inlineStr">
        <is>
          <t>なるべく初回介入時に評価をしているが、明確にいつ評価を行うかは決まっていない</t>
        </is>
      </c>
      <c r="AI86" s="3" t="inlineStr">
        <is>
          <t>下肢筋力強化, バランス練習, 歩行練習, 歩容改善, 起立、着座動作練習, 環境調整, 補助具、装具の適正化, 認知面への介入, 実施していない</t>
        </is>
      </c>
    </row>
    <row r="87" ht="22.5" customHeight="1">
      <c r="A87" s="32" t="n">
        <v>46093.39117532408</v>
      </c>
      <c r="B87" s="3" t="inlineStr">
        <is>
          <t>喜古　理道</t>
        </is>
      </c>
      <c r="C87" s="3" t="inlineStr">
        <is>
          <t>公益財団法人　湯浅報恩会　寿泉堂綜合病院</t>
        </is>
      </c>
      <c r="D87" s="3" t="inlineStr">
        <is>
          <t>福島県</t>
        </is>
      </c>
      <c r="E87" s="3" t="inlineStr">
        <is>
          <t>rehabili@jusendo.or.jp</t>
        </is>
      </c>
      <c r="F87" s="3" t="inlineStr">
        <is>
          <t>リハビリテーション科／理学療法士</t>
        </is>
      </c>
      <c r="G87" s="3" t="n">
        <v>136</v>
      </c>
      <c r="H87" s="3" t="n">
        <v>13</v>
      </c>
      <c r="I87" s="3" t="n">
        <v>8</v>
      </c>
      <c r="J87" s="3" t="inlineStr">
        <is>
          <t>現在、算定している</t>
        </is>
      </c>
      <c r="K87" s="3" t="inlineStr">
        <is>
          <t>関節可動域運動, 筋力増強運動, 呼吸リハビリテーション, DVT予防, リラクセーション, ポジショニング, 自主運動指導, 術後リハビリテーションのオリエンテーション, 離床（例：車椅子移乗,立位,歩行など）</t>
        </is>
      </c>
      <c r="L87" s="3" t="inlineStr">
        <is>
          <t>全症例の0％〜24％程度</t>
        </is>
      </c>
      <c r="N87" s="3" t="inlineStr">
        <is>
          <t>全症例の0％〜24％程度</t>
        </is>
      </c>
      <c r="P87" s="3" t="inlineStr">
        <is>
          <t>全症例の0％〜24％程度</t>
        </is>
      </c>
      <c r="R87" s="3" t="inlineStr">
        <is>
          <t>全症例の0％〜24％程度</t>
        </is>
      </c>
      <c r="T87" s="3" t="inlineStr">
        <is>
          <t>握力, 5回椅子立ち上がりテスト, 歩行速度, TUG, 開眼片脚立位時間</t>
        </is>
      </c>
      <c r="V87" s="3" t="inlineStr">
        <is>
          <t>J-CHS基準, TUG, 認知機能, 握力</t>
        </is>
      </c>
      <c r="X87" s="3" t="inlineStr">
        <is>
          <t>実施していない</t>
        </is>
      </c>
      <c r="Z87" s="3" t="inlineStr">
        <is>
          <t>Barthel Index（BI）, FIM</t>
        </is>
      </c>
      <c r="AB87" s="3" t="inlineStr">
        <is>
          <t>MMSE, HDS-R</t>
        </is>
      </c>
      <c r="AD87" s="3" t="inlineStr">
        <is>
          <t>開眼片脚立位時間, TUG, 10m歩行速度, 認知機能, 過去の転倒歴, 既往疾患の有無（脳血管疾患、パーキンソン病など）, 薬剤（向精神薬、降圧薬、利尿薬、ポリファーマシーなど）, ベッド周囲および病室環境</t>
        </is>
      </c>
      <c r="AF87" s="3" t="inlineStr">
        <is>
          <t>決まっていない</t>
        </is>
      </c>
      <c r="AI87" s="3" t="inlineStr">
        <is>
          <t>下肢筋力強化, バランス練習, 歩行練習, 歩容改善, 起立、着座動作練習, 環境調整, 補助具、装具の適正化, 認知面への介入, 行動面への介入, 薬剤調整, 教育、指導</t>
        </is>
      </c>
    </row>
    <row r="88" ht="22.5" customHeight="1">
      <c r="A88" s="32" t="n">
        <v>46093.4985780787</v>
      </c>
      <c r="B88" s="3" t="inlineStr">
        <is>
          <t>原田翔平</t>
        </is>
      </c>
      <c r="C88" s="3" t="inlineStr">
        <is>
          <t>上尾中央総合病院</t>
        </is>
      </c>
      <c r="D88" s="3" t="inlineStr">
        <is>
          <t>埼玉県</t>
        </is>
      </c>
      <c r="E88" s="3" t="inlineStr">
        <is>
          <t>harada.s@ach.or.jp</t>
        </is>
      </c>
      <c r="F88" s="3" t="inlineStr">
        <is>
          <t>リハビリテーション技術科/理学療法士</t>
        </is>
      </c>
      <c r="G88" s="3" t="n">
        <v>236</v>
      </c>
      <c r="H88" s="3" t="n">
        <v>23</v>
      </c>
      <c r="I88" s="3" t="n">
        <v>10</v>
      </c>
      <c r="J88" s="3" t="inlineStr">
        <is>
          <t>届け出をしておらず、検討もしていない</t>
        </is>
      </c>
      <c r="K88" s="3" t="inlineStr">
        <is>
          <t>関節可動域運動, 筋力増強運動, リラクセーション, 術後リハビリテーションのオリエンテーション, 離床（例：車椅子移乗,立位,歩行など）</t>
        </is>
      </c>
      <c r="L88" s="3" t="inlineStr">
        <is>
          <t>全症例の25％〜49％程度</t>
        </is>
      </c>
      <c r="N88" s="3" t="inlineStr">
        <is>
          <t>全症例の25％〜49％程度</t>
        </is>
      </c>
      <c r="P88" s="3" t="inlineStr">
        <is>
          <t>全症例の0％〜24％程度</t>
        </is>
      </c>
      <c r="R88" s="3" t="inlineStr">
        <is>
          <t>全症例の0％〜24％程度</t>
        </is>
      </c>
      <c r="T88" s="3" t="inlineStr">
        <is>
          <t>歩行速度, 開眼片脚立位時間</t>
        </is>
      </c>
      <c r="V88" s="3" t="inlineStr">
        <is>
          <t>認知機能</t>
        </is>
      </c>
      <c r="X88" s="3" t="inlineStr">
        <is>
          <t>実施していない</t>
        </is>
      </c>
      <c r="Z88" s="3" t="inlineStr">
        <is>
          <t>Barthel Index（BI）</t>
        </is>
      </c>
      <c r="AB88" s="3" t="inlineStr">
        <is>
          <t>MMSE</t>
        </is>
      </c>
      <c r="AD88" s="3" t="inlineStr">
        <is>
          <t>開眼片脚立位時間, 10m歩行速度, Berg Balance Scale（BBS）, 認知機能, せん妄, 既往疾患の有無（脳血管疾患、パーキンソン病など）</t>
        </is>
      </c>
      <c r="AF88" s="3" t="inlineStr">
        <is>
          <t>決まっている</t>
        </is>
      </c>
      <c r="AG88" s="3" t="inlineStr">
        <is>
          <t>7日目</t>
        </is>
      </c>
      <c r="AI88" s="3" t="inlineStr">
        <is>
          <t>下肢筋力強化, バランス練習, 歩行練習, 起立、着座動作練習, 環境調整, 補助具、装具の適正化, 認知面への介入, 教育、指導</t>
        </is>
      </c>
    </row>
    <row r="89" ht="22.5" customHeight="1">
      <c r="A89" s="32" t="n">
        <v>46093.51018778935</v>
      </c>
      <c r="B89" s="3" t="inlineStr">
        <is>
          <t>小泉康之</t>
        </is>
      </c>
      <c r="C89" s="3" t="inlineStr">
        <is>
          <t>いわき市医療センター</t>
        </is>
      </c>
      <c r="D89" s="3" t="inlineStr">
        <is>
          <t>福島県</t>
        </is>
      </c>
      <c r="E89" s="3" t="inlineStr">
        <is>
          <t>bnjbr577@yahoo.co.jp</t>
        </is>
      </c>
      <c r="G89" s="3" t="n">
        <v>280</v>
      </c>
      <c r="H89" s="3" t="n">
        <v>11</v>
      </c>
      <c r="I89" s="3" t="n">
        <v>4</v>
      </c>
      <c r="J89" s="3" t="inlineStr">
        <is>
          <t>届け出をしておらず、検討もしていない</t>
        </is>
      </c>
      <c r="K89" s="3" t="inlineStr">
        <is>
          <t>関節可動域運動, 筋力増強運動, DVT予防, リラクセーション, 離床（例：車椅子移乗,立位,歩行など）</t>
        </is>
      </c>
      <c r="L89" s="3" t="inlineStr">
        <is>
          <t>全症例の50％〜74％程度</t>
        </is>
      </c>
      <c r="M89" s="3" t="inlineStr">
        <is>
          <t>リラクゼーションや愛護的なROMを行い、疼痛を緩和させながら行う。</t>
        </is>
      </c>
      <c r="N89" s="3" t="inlineStr">
        <is>
          <t>全症例の25％〜49％程度</t>
        </is>
      </c>
      <c r="P89" s="3" t="inlineStr">
        <is>
          <t>全症例の0％〜24％程度</t>
        </is>
      </c>
      <c r="R89" s="3" t="inlineStr">
        <is>
          <t>全症例の0％〜24％程度</t>
        </is>
      </c>
      <c r="T89" s="3" t="inlineStr">
        <is>
          <t>SPPB</t>
        </is>
      </c>
      <c r="V89" s="3" t="inlineStr">
        <is>
          <t>認知機能</t>
        </is>
      </c>
      <c r="X89" s="3" t="inlineStr">
        <is>
          <t>実施していない</t>
        </is>
      </c>
      <c r="Y89" s="3" t="inlineStr">
        <is>
          <t>SPPBとある程度の相関性があると考えており、また急性期の患者様には適していないと考えているので。</t>
        </is>
      </c>
      <c r="Z89" s="3" t="inlineStr">
        <is>
          <t>Barthel Index（BI）</t>
        </is>
      </c>
      <c r="AB89" s="3" t="inlineStr">
        <is>
          <t>HDS-R</t>
        </is>
      </c>
      <c r="AD89" s="3" t="inlineStr">
        <is>
          <t>SPPB、Functional Reach Test（FRT）, 認知機能</t>
        </is>
      </c>
      <c r="AF89" s="3" t="inlineStr">
        <is>
          <t>決まっている</t>
        </is>
      </c>
      <c r="AG89" s="3" t="inlineStr">
        <is>
          <t>退院時、転院時、外来時</t>
        </is>
      </c>
      <c r="AI89" s="3" t="inlineStr">
        <is>
          <t>下肢筋力強化, バランス練習, 起立、着座動作練習, 教育、指導</t>
        </is>
      </c>
    </row>
    <row r="90" ht="22.5" customHeight="1">
      <c r="A90" s="32" t="n">
        <v>46093.52638153935</v>
      </c>
      <c r="B90" s="3" t="inlineStr">
        <is>
          <t>稲垣隼人</t>
        </is>
      </c>
      <c r="C90" s="3" t="inlineStr">
        <is>
          <t>市立伊勢総合病院</t>
        </is>
      </c>
      <c r="D90" s="3" t="inlineStr">
        <is>
          <t>三重県</t>
        </is>
      </c>
      <c r="E90" s="3" t="inlineStr">
        <is>
          <t>reha-pt@hospital.ise.mie.jp</t>
        </is>
      </c>
      <c r="F90" s="3" t="inlineStr">
        <is>
          <t>リハビリテーション室/理学療法士</t>
        </is>
      </c>
      <c r="G90" s="3" t="n">
        <v>169</v>
      </c>
      <c r="H90" s="3" t="n">
        <v>20</v>
      </c>
      <c r="I90" s="3" t="n">
        <v>4</v>
      </c>
      <c r="J90" s="3" t="inlineStr">
        <is>
          <t>届け出をしておらず、検討もしていない</t>
        </is>
      </c>
      <c r="K90" s="3" t="inlineStr">
        <is>
          <t>関節可動域運動, 筋力増強運動, 自主運動指導</t>
        </is>
      </c>
      <c r="L90" s="3" t="inlineStr">
        <is>
          <t>全症例の50％〜74％程度</t>
        </is>
      </c>
      <c r="M90" s="3" t="inlineStr">
        <is>
          <t>病棟Nrsへの自主トレーニング・離床の協力依頼</t>
        </is>
      </c>
      <c r="N90" s="3" t="inlineStr">
        <is>
          <t>全症例の25％〜49％程度</t>
        </is>
      </c>
      <c r="P90" s="3" t="inlineStr">
        <is>
          <t>全症例の0％〜24％程度</t>
        </is>
      </c>
      <c r="R90" s="3" t="inlineStr">
        <is>
          <t>全症例の0％〜24％程度</t>
        </is>
      </c>
      <c r="T90" s="3" t="inlineStr">
        <is>
          <t>握力, 膝伸展筋力, 歩行速度, TUG, 下腿周径, GNRI</t>
        </is>
      </c>
      <c r="V90" s="3" t="inlineStr">
        <is>
          <t>TUG, 認知機能, GNRI, 握力</t>
        </is>
      </c>
      <c r="X90" s="3" t="inlineStr">
        <is>
          <t>実施していない</t>
        </is>
      </c>
      <c r="Y90" s="3" t="inlineStr">
        <is>
          <t>特になし</t>
        </is>
      </c>
      <c r="Z90" s="3" t="inlineStr">
        <is>
          <t>Barthel Index（BI）, FIM</t>
        </is>
      </c>
      <c r="AB90" s="3" t="inlineStr">
        <is>
          <t>MMSE, MoCA</t>
        </is>
      </c>
      <c r="AD90" s="3" t="inlineStr">
        <is>
          <t>TUG, 10m歩行速度, SPPB、Functional Reach Test（FRT）, 認知機能, せん妄, 過去の転倒歴, 既往疾患の有無（脳血管疾患、パーキンソン病など）, 薬剤（向精神薬、降圧薬、利尿薬、ポリファーマシーなど）, ベッド周囲および病室環境</t>
        </is>
      </c>
      <c r="AF90" s="3" t="inlineStr">
        <is>
          <t>決まっている</t>
        </is>
      </c>
      <c r="AG90" s="3" t="inlineStr">
        <is>
          <t>翌日</t>
        </is>
      </c>
      <c r="AI90" s="3" t="inlineStr">
        <is>
          <t>下肢筋力強化, バランス練習, 歩行練習, 起立、着座動作練習, 環境調整, 補助具、装具の適正化, 教育、指導</t>
        </is>
      </c>
    </row>
    <row r="91" ht="22.5" customHeight="1">
      <c r="A91" s="32" t="n">
        <v>46093.57812211806</v>
      </c>
      <c r="B91" s="3" t="inlineStr">
        <is>
          <t>久保田　洋介</t>
        </is>
      </c>
      <c r="C91" s="3" t="inlineStr">
        <is>
          <t>みなと医療生活協同組合　協立総合病院</t>
        </is>
      </c>
      <c r="D91" s="3" t="inlineStr">
        <is>
          <t>愛知県</t>
        </is>
      </c>
      <c r="E91" s="3" t="inlineStr">
        <is>
          <t>kyouritu.riha@gmail.com</t>
        </is>
      </c>
      <c r="F91" s="3" t="inlineStr">
        <is>
          <t>リハビリテーション室/理学療法士</t>
        </is>
      </c>
      <c r="G91" s="3" t="n">
        <v>314</v>
      </c>
      <c r="H91" s="3" t="n">
        <v>12</v>
      </c>
      <c r="I91" s="3" t="n">
        <v>0</v>
      </c>
      <c r="J91" s="3" t="inlineStr">
        <is>
          <t>届け出をしておらず、検討もしていない</t>
        </is>
      </c>
      <c r="K91" s="3" t="inlineStr">
        <is>
          <t>関節可動域運動, 筋力増強運動, 呼吸リハビリテーション, DVT予防, リラクセーション, ポジショニング, 自主運動指導, 術後リハビリテーションのオリエンテーション, 離床（例：車椅子移乗,立位,歩行など）</t>
        </is>
      </c>
      <c r="L91" s="3" t="inlineStr">
        <is>
          <t>全症例の0％〜24％程度</t>
        </is>
      </c>
      <c r="N91" s="3" t="inlineStr">
        <is>
          <t>全症例の0％〜24％程度</t>
        </is>
      </c>
      <c r="P91" s="3" t="inlineStr">
        <is>
          <t>全症例の0％〜24％程度</t>
        </is>
      </c>
      <c r="R91" s="3" t="inlineStr">
        <is>
          <t>全症例の0％〜24％程度</t>
        </is>
      </c>
      <c r="T91" s="3" t="inlineStr">
        <is>
          <t>握力, 膝伸展筋力, 5回椅子立ち上がりテスト, 歩行速度, SPPB, TUG, 6分間歩行距離</t>
        </is>
      </c>
      <c r="V91" s="3" t="inlineStr">
        <is>
          <t>6分間歩行距離, 認知機能, 握力</t>
        </is>
      </c>
      <c r="X91" s="3" t="inlineStr">
        <is>
          <t>SPPB、握力など</t>
        </is>
      </c>
      <c r="Z91" s="3" t="inlineStr">
        <is>
          <t>Barthel Index（BI）, FIM</t>
        </is>
      </c>
      <c r="AB91" s="3" t="inlineStr">
        <is>
          <t>MMSE, HDS-R</t>
        </is>
      </c>
      <c r="AD91" s="3" t="inlineStr">
        <is>
          <t>実施していない</t>
        </is>
      </c>
      <c r="AE91" s="3" t="inlineStr">
        <is>
          <t>「施設内で定められている」ではなく、患者の状況により判断している</t>
        </is>
      </c>
      <c r="AI91" s="3" t="inlineStr">
        <is>
          <t>下肢筋力強化, バランス練習, 歩行練習, 歩容改善, 起立、着座動作練習, 環境調整, 補助具、装具の適正化, 認知面への介入, 行動面への介入, 薬剤調整, 教育、指導</t>
        </is>
      </c>
    </row>
    <row r="92" ht="22.5" customHeight="1">
      <c r="A92" s="32" t="n">
        <v>46093.69395728009</v>
      </c>
      <c r="B92" s="3" t="inlineStr">
        <is>
          <t>山下　咲子</t>
        </is>
      </c>
      <c r="C92" s="3" t="inlineStr">
        <is>
          <t>医療法人　平成会　サンライズ酒井病院</t>
        </is>
      </c>
      <c r="D92" s="3" t="inlineStr">
        <is>
          <t>大分県</t>
        </is>
      </c>
      <c r="E92" s="3" t="inlineStr">
        <is>
          <t>sakai.reha@gmail.com</t>
        </is>
      </c>
      <c r="F92" s="3" t="inlineStr">
        <is>
          <t>リハビリテーション部/理学療法士</t>
        </is>
      </c>
      <c r="G92" s="3" t="n">
        <v>75</v>
      </c>
      <c r="H92" s="3" t="n">
        <v>14</v>
      </c>
      <c r="I92" s="3" t="n">
        <v>4</v>
      </c>
      <c r="J92" s="3" t="inlineStr">
        <is>
          <t>届け出はしていないが、現在検討中である</t>
        </is>
      </c>
      <c r="K92" s="3" t="inlineStr">
        <is>
          <t>関節可動域運動, 筋力増強運動, 呼吸リハビリテーション, DVT予防, ポジショニング, 自主運動指導, 術後リハビリテーションのオリエンテーション</t>
        </is>
      </c>
      <c r="L92" s="3" t="inlineStr">
        <is>
          <t>全症例の0％〜24％程度</t>
        </is>
      </c>
      <c r="N92" s="3" t="inlineStr">
        <is>
          <t>全症例の0％〜24％程度</t>
        </is>
      </c>
      <c r="P92" s="3" t="inlineStr">
        <is>
          <t>全症例の0％〜24％程度</t>
        </is>
      </c>
      <c r="R92" s="3" t="inlineStr">
        <is>
          <t>全症例の0％〜24％程度</t>
        </is>
      </c>
      <c r="T92" s="3" t="inlineStr">
        <is>
          <t>握力, 歩行速度, TUG, 開眼片脚立位時間, 下腿周径</t>
        </is>
      </c>
      <c r="V92" s="3" t="inlineStr">
        <is>
          <t>TUG, 認知機能, 握力</t>
        </is>
      </c>
      <c r="X92" s="3" t="inlineStr">
        <is>
          <t>ロコチェック（7項目）、SIDE、握力、5m歩行速度、Fall  Risk  Index</t>
        </is>
      </c>
      <c r="Z92" s="3" t="inlineStr">
        <is>
          <t>FIM</t>
        </is>
      </c>
      <c r="AB92" s="3" t="inlineStr">
        <is>
          <t>HDS-R</t>
        </is>
      </c>
      <c r="AD92" s="3" t="inlineStr">
        <is>
          <t>開眼片脚立位時間, TUG, 10m歩行速度, 認知機能, 過去の転倒歴, 既往疾患の有無（脳血管疾患、パーキンソン病など）, ベッド周囲および病室環境, Fall Risk Index</t>
        </is>
      </c>
      <c r="AF92" s="3" t="inlineStr">
        <is>
          <t>決まっている</t>
        </is>
      </c>
      <c r="AG92" s="3" t="inlineStr">
        <is>
          <t>術後1週間以内を目処に各自で取り組んでいる。術前に可能な評価は術前に実施。評価結果はカンファレンスで報告し、多職種と情報共有を行っている。</t>
        </is>
      </c>
      <c r="AI92" s="3" t="inlineStr">
        <is>
          <t>下肢筋力強化, バランス練習, 歩行練習, 歩容改善, 起立、着座動作練習, 環境調整, 補助具、装具の適正化, 認知面への介入, 行動面への介入, 教育、指導</t>
        </is>
      </c>
    </row>
    <row r="93" ht="22.5" customHeight="1">
      <c r="A93" s="32" t="n">
        <v>46093.72019630787</v>
      </c>
      <c r="B93" s="3" t="inlineStr">
        <is>
          <t>谷口聖矢</t>
        </is>
      </c>
      <c r="C93" s="3" t="inlineStr">
        <is>
          <t>社会医療法人　恒心会　恒心会おぐら病院</t>
        </is>
      </c>
      <c r="D93" s="3" t="inlineStr">
        <is>
          <t>鹿児島県</t>
        </is>
      </c>
      <c r="E93" s="3" t="inlineStr">
        <is>
          <t>seiya.therapist@gmail.com</t>
        </is>
      </c>
      <c r="F93" s="3" t="inlineStr">
        <is>
          <t>リハビリテーション科　理学療法士</t>
        </is>
      </c>
      <c r="G93" s="3" t="n">
        <v>259</v>
      </c>
      <c r="H93" s="3" t="n">
        <v>52</v>
      </c>
      <c r="I93" s="3" t="n">
        <v>19</v>
      </c>
      <c r="J93" s="3" t="inlineStr">
        <is>
          <t>現在、算定している</t>
        </is>
      </c>
      <c r="K93" s="3" t="inlineStr">
        <is>
          <t>呼吸リハビリテーション, DVT予防, ポジショニング</t>
        </is>
      </c>
      <c r="L93" s="3" t="inlineStr">
        <is>
          <t>全症例の50％〜74％程度</t>
        </is>
      </c>
      <c r="M93" s="3" t="inlineStr">
        <is>
          <t>リハビリテーションによる早期離床とベッド上の運動よりも移乗動作訓練やトイレ動作訓練等のADL訓練を多く取り入れています。</t>
        </is>
      </c>
      <c r="N93" s="3" t="inlineStr">
        <is>
          <t>全症例の25％〜49％程度</t>
        </is>
      </c>
      <c r="P93" s="3" t="inlineStr">
        <is>
          <t>全症例の0％〜24％程度</t>
        </is>
      </c>
      <c r="R93" s="3" t="inlineStr">
        <is>
          <t>全症例の0％〜24％程度</t>
        </is>
      </c>
      <c r="T93" s="3" t="inlineStr">
        <is>
          <t>握力, 5回椅子立ち上がりテスト, 歩行速度, SPPB, TUG, 6分間歩行距離, 骨格筋量指数（SMI）, 下腿周径, SARC-F</t>
        </is>
      </c>
      <c r="V93" s="3" t="inlineStr">
        <is>
          <t>TUG, 6分間歩行距離, 認知機能, 握力</t>
        </is>
      </c>
      <c r="X93" s="3" t="inlineStr">
        <is>
          <t>立ち上がりテスト, 2ステップテスト</t>
        </is>
      </c>
      <c r="Z93" s="3" t="inlineStr">
        <is>
          <t>Barthel Index（BI）, FIM</t>
        </is>
      </c>
      <c r="AB93" s="3" t="inlineStr">
        <is>
          <t>MMSE, HDS-R, AMTS</t>
        </is>
      </c>
      <c r="AD93" s="3" t="inlineStr">
        <is>
          <t>TUG, 10m歩行速度, SPPB、Functional Reach Test（FRT）, 5回椅子立ち上がりテスト, 認知機能, 転倒恐怖感, 既往疾患の有無（脳血管疾患、パーキンソン病など）, Fall Risk Index</t>
        </is>
      </c>
      <c r="AF93" s="3" t="inlineStr">
        <is>
          <t>決まっている</t>
        </is>
      </c>
      <c r="AG93" s="3" t="inlineStr">
        <is>
          <t>質問表による評価は術前に実施、その他の動的な評価は術後1週、2週、4週、退院前に実施しています。</t>
        </is>
      </c>
      <c r="AI93" s="3" t="inlineStr">
        <is>
          <t>下肢筋力強化, バランス練習, 歩行練習, 歩容改善, 起立、着座動作練習, 環境調整, 補助具、装具の適正化, 認知面への介入, 教育、指導</t>
        </is>
      </c>
    </row>
    <row r="94" ht="22.5" customHeight="1">
      <c r="A94" s="32" t="n">
        <v>46093.73339903935</v>
      </c>
      <c r="B94" s="3" t="inlineStr">
        <is>
          <t>佐藤海渡</t>
        </is>
      </c>
      <c r="C94" s="3" t="inlineStr">
        <is>
          <t>彩の国東大宮メディカルセンター</t>
        </is>
      </c>
      <c r="D94" s="3" t="inlineStr">
        <is>
          <t>埼玉県</t>
        </is>
      </c>
      <c r="E94" s="3" t="inlineStr">
        <is>
          <t>kaito.sato@shmc.jp</t>
        </is>
      </c>
      <c r="F94" s="3" t="inlineStr">
        <is>
          <t>リハビリテーション科　理学療法士</t>
        </is>
      </c>
      <c r="G94" s="3" t="n">
        <v>213</v>
      </c>
      <c r="H94" s="3" t="n">
        <v>12</v>
      </c>
      <c r="I94" s="3" t="n">
        <v>3</v>
      </c>
      <c r="J94" s="3" t="inlineStr">
        <is>
          <t>届け出はしていないが、現在検討中である</t>
        </is>
      </c>
      <c r="K94" s="3" t="inlineStr">
        <is>
          <t>関節可動域運動, 筋力増強運動, DVT予防, 自主運動指導, 術後リハビリテーションのオリエンテーション</t>
        </is>
      </c>
      <c r="L94" s="3" t="inlineStr">
        <is>
          <t>全症例の0％〜24％程度</t>
        </is>
      </c>
      <c r="N94" s="3" t="inlineStr">
        <is>
          <t>全症例の0％〜24％程度</t>
        </is>
      </c>
      <c r="P94" s="3" t="inlineStr">
        <is>
          <t>全症例の0％〜24％程度</t>
        </is>
      </c>
      <c r="R94" s="3" t="inlineStr">
        <is>
          <t>全症例の0％〜24％程度</t>
        </is>
      </c>
      <c r="T94" s="3" t="inlineStr">
        <is>
          <t>下腿周径</t>
        </is>
      </c>
      <c r="V94" s="3" t="inlineStr">
        <is>
          <t>認知機能</t>
        </is>
      </c>
      <c r="X94" s="3" t="inlineStr">
        <is>
          <t>実施していない</t>
        </is>
      </c>
      <c r="Y94" s="3" t="inlineStr">
        <is>
          <t>やるきっかけがない</t>
        </is>
      </c>
      <c r="Z94" s="3" t="inlineStr">
        <is>
          <t>Barthel Index（BI）, FIM</t>
        </is>
      </c>
      <c r="AB94" s="3" t="inlineStr">
        <is>
          <t>AMTS</t>
        </is>
      </c>
      <c r="AD94" s="3" t="inlineStr">
        <is>
          <t>認知機能</t>
        </is>
      </c>
      <c r="AF94" s="3" t="inlineStr">
        <is>
          <t>決まっている</t>
        </is>
      </c>
      <c r="AG94" s="3" t="inlineStr">
        <is>
          <t>術前から術後2日目の間</t>
        </is>
      </c>
      <c r="AI94" s="3" t="inlineStr">
        <is>
          <t>下肢筋力強化, バランス練習, 歩行練習, 歩容改善, 起立、着座動作練習, 環境調整, 認知面への介入, 行動面への介入, 教育、指導</t>
        </is>
      </c>
    </row>
    <row r="95" ht="22.5" customHeight="1">
      <c r="A95" s="32" t="n">
        <v>46093.73402428241</v>
      </c>
      <c r="B95" s="3" t="inlineStr">
        <is>
          <t>嶋田　明永</t>
        </is>
      </c>
      <c r="C95" s="3" t="inlineStr">
        <is>
          <t>大分市医師会立アルメイダ病院</t>
        </is>
      </c>
      <c r="D95" s="3" t="inlineStr">
        <is>
          <t>大分県</t>
        </is>
      </c>
      <c r="E95" s="3" t="inlineStr">
        <is>
          <t>rihabiri@almeida.oita.med.or.jp</t>
        </is>
      </c>
      <c r="F95" s="3" t="inlineStr">
        <is>
          <t>リハビリテーション部/作業療法士</t>
        </is>
      </c>
      <c r="G95" s="3" t="n">
        <v>135</v>
      </c>
      <c r="H95" s="3" t="n">
        <v>12</v>
      </c>
      <c r="I95" s="3" t="n">
        <v>5</v>
      </c>
      <c r="J95" s="3" t="inlineStr">
        <is>
          <t>届け出をしておらず、検討もしていない</t>
        </is>
      </c>
      <c r="K95" s="3" t="inlineStr">
        <is>
          <t>実施していない</t>
        </is>
      </c>
      <c r="L95" s="3" t="inlineStr">
        <is>
          <t>全症例の25％〜49％程度</t>
        </is>
      </c>
      <c r="N95" s="3" t="inlineStr">
        <is>
          <t>全症例の25％〜49％程度</t>
        </is>
      </c>
      <c r="P95" s="3" t="inlineStr">
        <is>
          <t>全症例の0％〜24％程度</t>
        </is>
      </c>
      <c r="R95" s="3" t="inlineStr">
        <is>
          <t>全症例の0％〜24％程度</t>
        </is>
      </c>
      <c r="T95" s="3" t="inlineStr">
        <is>
          <t>実施していない</t>
        </is>
      </c>
      <c r="V95" s="3" t="inlineStr">
        <is>
          <t>実施していない</t>
        </is>
      </c>
      <c r="X95" s="3" t="inlineStr">
        <is>
          <t>実施していない</t>
        </is>
      </c>
      <c r="Z95" s="3" t="inlineStr">
        <is>
          <t>Barthel Index（BI）</t>
        </is>
      </c>
      <c r="AB95" s="3" t="inlineStr">
        <is>
          <t>HDS-R</t>
        </is>
      </c>
      <c r="AD95" s="3" t="inlineStr">
        <is>
          <t>TUG, SPPB、Functional Reach Test（FRT）, 5回椅子立ち上がりテスト, 認知機能</t>
        </is>
      </c>
      <c r="AF95" s="3" t="inlineStr">
        <is>
          <t>決まっている</t>
        </is>
      </c>
      <c r="AG95" s="3" t="inlineStr">
        <is>
          <t>14日目</t>
        </is>
      </c>
      <c r="AI95" s="3" t="inlineStr">
        <is>
          <t>下肢筋力強化, バランス練習, 歩行練習, 歩容改善, 起立、着座動作練習, 教育、指導</t>
        </is>
      </c>
    </row>
    <row r="96" ht="22.5" customHeight="1">
      <c r="A96" s="32" t="n">
        <v>46093.73966936343</v>
      </c>
      <c r="B96" s="3" t="inlineStr">
        <is>
          <t>高橋　伴弥</t>
        </is>
      </c>
      <c r="C96" s="3" t="inlineStr">
        <is>
          <t>医療法人　橋本病院</t>
        </is>
      </c>
      <c r="D96" s="3" t="inlineStr">
        <is>
          <t>和歌山県</t>
        </is>
      </c>
      <c r="E96" s="3" t="inlineStr">
        <is>
          <t>taka.do.it.0618@gmail.com</t>
        </is>
      </c>
      <c r="F96" s="3" t="inlineStr">
        <is>
          <t>リハビリテーション科/理学療法士</t>
        </is>
      </c>
      <c r="G96" s="3" t="n">
        <v>80</v>
      </c>
      <c r="H96" s="3" t="n">
        <v>12</v>
      </c>
      <c r="I96" s="3" t="n">
        <v>4</v>
      </c>
      <c r="J96" s="3" t="inlineStr">
        <is>
          <t>届け出をしておらず、検討もしていない</t>
        </is>
      </c>
      <c r="K96" s="3" t="inlineStr">
        <is>
          <t>実施していない</t>
        </is>
      </c>
      <c r="L96" s="3" t="inlineStr">
        <is>
          <t>全症例の25％〜49％程度</t>
        </is>
      </c>
      <c r="N96" s="3" t="inlineStr">
        <is>
          <t>全症例の0％〜24％程度</t>
        </is>
      </c>
      <c r="P96" s="3" t="inlineStr">
        <is>
          <t>全症例の0％〜24％程度</t>
        </is>
      </c>
      <c r="R96" s="3" t="inlineStr">
        <is>
          <t>全症例の0％〜24％程度</t>
        </is>
      </c>
      <c r="T96" s="3" t="inlineStr">
        <is>
          <t>下腿周径</t>
        </is>
      </c>
      <c r="V96" s="3" t="inlineStr">
        <is>
          <t>GNRI</t>
        </is>
      </c>
      <c r="X96" s="3" t="inlineStr">
        <is>
          <t>実施していない</t>
        </is>
      </c>
      <c r="Y96" s="3" t="inlineStr">
        <is>
          <t>決まりがない為</t>
        </is>
      </c>
      <c r="Z96" s="3" t="inlineStr">
        <is>
          <t>FIM</t>
        </is>
      </c>
      <c r="AB96" s="3" t="inlineStr">
        <is>
          <t>実施していない</t>
        </is>
      </c>
      <c r="AC96" s="3" t="inlineStr">
        <is>
          <t>決まりがない為</t>
        </is>
      </c>
      <c r="AD96" s="3" t="inlineStr">
        <is>
          <t>実施していない</t>
        </is>
      </c>
      <c r="AE96" s="3" t="inlineStr">
        <is>
          <t>特に決まりがない為</t>
        </is>
      </c>
      <c r="AF96" s="3" t="inlineStr">
        <is>
          <t>決まっていない</t>
        </is>
      </c>
      <c r="AI96" s="3" t="inlineStr">
        <is>
          <t>環境調整</t>
        </is>
      </c>
    </row>
    <row r="97" ht="22.5" customHeight="1">
      <c r="A97" s="32" t="n">
        <v>46093.75344018519</v>
      </c>
      <c r="B97" s="3" t="inlineStr">
        <is>
          <t>上田</t>
        </is>
      </c>
      <c r="C97" s="3" t="inlineStr">
        <is>
          <t>市立福知山市民病院</t>
        </is>
      </c>
      <c r="D97" s="3" t="inlineStr">
        <is>
          <t>京都府</t>
        </is>
      </c>
      <c r="E97" s="3" t="inlineStr">
        <is>
          <t>ijika@fukuchiyama-hosp.jp</t>
        </is>
      </c>
      <c r="F97" s="3" t="inlineStr">
        <is>
          <t>理学療法士</t>
        </is>
      </c>
      <c r="G97" s="3" t="n">
        <v>129</v>
      </c>
      <c r="H97" s="3" t="n">
        <v>18</v>
      </c>
      <c r="I97" s="3" t="n">
        <v>0</v>
      </c>
      <c r="J97" s="3" t="inlineStr">
        <is>
          <t>届け出はしていないが、現在検討中である</t>
        </is>
      </c>
      <c r="K97" s="3" t="inlineStr">
        <is>
          <t>関節可動域運動, 筋力増強運動, 呼吸リハビリテーション, ポジショニング, 自主運動指導, 術後リハビリテーションのオリエンテーション</t>
        </is>
      </c>
      <c r="L97" s="3" t="inlineStr">
        <is>
          <t>全症例の75％〜100％程度</t>
        </is>
      </c>
      <c r="M97" s="3" t="inlineStr">
        <is>
          <t>疼痛軽減のためのアイシングやマッサージ、リラクセーション、可動域運動の実施</t>
        </is>
      </c>
      <c r="N97" s="3" t="inlineStr">
        <is>
          <t>全症例の25％〜49％程度</t>
        </is>
      </c>
      <c r="P97" s="3" t="inlineStr">
        <is>
          <t>全症例の0％〜24％程度</t>
        </is>
      </c>
      <c r="R97" s="3" t="inlineStr">
        <is>
          <t>全症例の0％〜24％程度</t>
        </is>
      </c>
      <c r="T97" s="3" t="inlineStr">
        <is>
          <t>握力, 5回椅子立ち上がりテスト, SPPB, TUG, 6分間歩行距離</t>
        </is>
      </c>
      <c r="V97" s="3" t="inlineStr">
        <is>
          <t>TUG, 6分間歩行距離, 握力</t>
        </is>
      </c>
      <c r="X97" s="3" t="inlineStr">
        <is>
          <t>実施していない</t>
        </is>
      </c>
      <c r="Z97" s="3" t="inlineStr">
        <is>
          <t>Barthel Index（BI）, FIM</t>
        </is>
      </c>
      <c r="AB97" s="3" t="inlineStr">
        <is>
          <t>MMSE</t>
        </is>
      </c>
      <c r="AD97" s="3" t="inlineStr">
        <is>
          <t>定量的な下肢筋力測定, 既往疾患の有無（脳血管疾患、パーキンソン病など）, ベッド周囲および病室環境</t>
        </is>
      </c>
      <c r="AF97" s="3" t="inlineStr">
        <is>
          <t>決まっている</t>
        </is>
      </c>
      <c r="AG97" s="3" t="inlineStr">
        <is>
          <t>１週間以内</t>
        </is>
      </c>
      <c r="AI97" s="3" t="inlineStr">
        <is>
          <t>下肢筋力強化, バランス練習, 歩行練習, 歩容改善, 起立、着座動作練習, 環境調整, 補助具、装具の適正化, 認知面への介入, 行動面への介入, 教育、指導</t>
        </is>
      </c>
    </row>
    <row r="98" ht="22.5" customHeight="1">
      <c r="A98" s="32" t="n">
        <v>46093.85805075231</v>
      </c>
      <c r="B98" s="3" t="inlineStr">
        <is>
          <t>伊藤慎也</t>
        </is>
      </c>
      <c r="C98" s="3" t="inlineStr">
        <is>
          <t>小牧市民病院</t>
        </is>
      </c>
      <c r="D98" s="3" t="inlineStr">
        <is>
          <t>愛知県</t>
        </is>
      </c>
      <c r="E98" s="3" t="inlineStr">
        <is>
          <t>itos.1110@gmail.com</t>
        </is>
      </c>
      <c r="F98" s="3" t="inlineStr">
        <is>
          <t>リハビリテーション科/理学療法士</t>
        </is>
      </c>
      <c r="G98" s="3" t="n">
        <v>233</v>
      </c>
      <c r="H98" s="3" t="n">
        <v>14</v>
      </c>
      <c r="I98" s="3" t="n">
        <v>0</v>
      </c>
      <c r="J98" s="3" t="inlineStr">
        <is>
          <t>届け出をしておらず、検討もしていない</t>
        </is>
      </c>
      <c r="K98" s="3" t="inlineStr">
        <is>
          <t>手術待機期間が長い場合、廃用予防リハビリ</t>
        </is>
      </c>
      <c r="L98" s="3" t="inlineStr">
        <is>
          <t>全症例の25％〜49％程度</t>
        </is>
      </c>
      <c r="N98" s="3" t="inlineStr">
        <is>
          <t>全症例の25％〜49％程度</t>
        </is>
      </c>
      <c r="P98" s="3" t="inlineStr">
        <is>
          <t>全症例の0％〜24％程度</t>
        </is>
      </c>
      <c r="R98" s="3" t="inlineStr">
        <is>
          <t>全症例の25％〜49％程度</t>
        </is>
      </c>
      <c r="T98" s="3" t="inlineStr">
        <is>
          <t>歩行速度, 下腿周径</t>
        </is>
      </c>
      <c r="V98" s="3" t="inlineStr">
        <is>
          <t>実施していない</t>
        </is>
      </c>
      <c r="X98" s="3" t="inlineStr">
        <is>
          <t>実施していない</t>
        </is>
      </c>
      <c r="Z98" s="3" t="inlineStr">
        <is>
          <t>Barthel Index（BI）</t>
        </is>
      </c>
      <c r="AB98" s="3" t="inlineStr">
        <is>
          <t>MMSE</t>
        </is>
      </c>
      <c r="AD98" s="3" t="inlineStr">
        <is>
          <t>下肢荷重検査</t>
        </is>
      </c>
      <c r="AF98" s="3" t="inlineStr">
        <is>
          <t>決まっている</t>
        </is>
      </c>
      <c r="AG98" s="3" t="inlineStr">
        <is>
          <t>歩行開始期から毎日</t>
        </is>
      </c>
      <c r="AI98" s="3" t="inlineStr">
        <is>
          <t>下肢筋力強化, バランス練習, 歩行練習, 歩容改善, 環境調整, 補助具、装具の適正化, 教育、指導</t>
        </is>
      </c>
    </row>
    <row r="99" ht="22.5" customHeight="1">
      <c r="A99" s="32" t="n">
        <v>46094.40657538195</v>
      </c>
      <c r="B99" s="3" t="inlineStr">
        <is>
          <t>亀山　拓良</t>
        </is>
      </c>
      <c r="C99" s="3" t="inlineStr">
        <is>
          <t>富山市民病院</t>
        </is>
      </c>
      <c r="D99" s="3" t="inlineStr">
        <is>
          <t>富山県</t>
        </is>
      </c>
      <c r="E99" s="3" t="inlineStr">
        <is>
          <t>takukumi0126@yahoo.co.jp</t>
        </is>
      </c>
      <c r="F99" s="3" t="inlineStr">
        <is>
          <t>リハビリテーション科／理学療法士</t>
        </is>
      </c>
      <c r="G99" s="3" t="n">
        <v>230</v>
      </c>
      <c r="H99" s="3" t="n">
        <v>6</v>
      </c>
      <c r="I99" s="3" t="n">
        <v>2</v>
      </c>
      <c r="J99" s="3" t="inlineStr">
        <is>
          <t>届け出をしておらず、検討もしていない</t>
        </is>
      </c>
      <c r="K99" s="3" t="inlineStr">
        <is>
          <t>関節可動域運動, 筋力増強運動, DVT予防, ポジショニング, 自主運動指導, 術後リハビリテーションのオリエンテーション, 離床（例：車椅子移乗,立位,歩行など）</t>
        </is>
      </c>
      <c r="L99" s="3" t="inlineStr">
        <is>
          <t>全症例の50％〜74％程度</t>
        </is>
      </c>
      <c r="M99" s="3" t="inlineStr">
        <is>
          <t>術後1日目からの車椅子移乗　立位練習</t>
        </is>
      </c>
      <c r="N99" s="3" t="inlineStr">
        <is>
          <t>全症例の0％〜24％程度</t>
        </is>
      </c>
      <c r="P99" s="3" t="inlineStr">
        <is>
          <t>全症例の0％〜24％程度</t>
        </is>
      </c>
      <c r="R99" s="3" t="inlineStr">
        <is>
          <t>全症例の0％〜24％程度</t>
        </is>
      </c>
      <c r="T99" s="3" t="inlineStr">
        <is>
          <t>握力, 歩行速度, SPPB</t>
        </is>
      </c>
      <c r="V99" s="3" t="inlineStr">
        <is>
          <t>握力</t>
        </is>
      </c>
      <c r="X99" s="3" t="inlineStr">
        <is>
          <t>立ち上がりテスト</t>
        </is>
      </c>
      <c r="Z99" s="3" t="inlineStr">
        <is>
          <t>Barthel Index（BI）</t>
        </is>
      </c>
      <c r="AB99" s="3" t="inlineStr">
        <is>
          <t>実施していない</t>
        </is>
      </c>
      <c r="AD99" s="3" t="inlineStr">
        <is>
          <t>SPPB、Functional Reach Test（FRT）, 5回椅子立ち上がりテスト, せん妄, 過去の転倒歴</t>
        </is>
      </c>
      <c r="AF99" s="3" t="inlineStr">
        <is>
          <t>決まっている</t>
        </is>
      </c>
      <c r="AG99" s="3" t="inlineStr">
        <is>
          <t>3ヶ月、6ヶ月、1年の再診時</t>
        </is>
      </c>
      <c r="AI99" s="3" t="inlineStr">
        <is>
          <t>下肢筋力強化, バランス練習, 歩行練習, 歩容改善, 起立、着座動作練習</t>
        </is>
      </c>
    </row>
    <row r="100" ht="22.5" customHeight="1">
      <c r="A100" s="32" t="n">
        <v>46094.41204236111</v>
      </c>
      <c r="B100" s="3" t="inlineStr">
        <is>
          <t>中村亮一</t>
        </is>
      </c>
      <c r="C100" s="3" t="inlineStr">
        <is>
          <t>シムラ病院</t>
        </is>
      </c>
      <c r="D100" s="3" t="inlineStr">
        <is>
          <t>広島県</t>
        </is>
      </c>
      <c r="E100" s="3" t="inlineStr">
        <is>
          <t>rehabilitation@shimura.or.jp</t>
        </is>
      </c>
      <c r="F100" s="3" t="inlineStr">
        <is>
          <t>リハビリテーション科/理学療法士</t>
        </is>
      </c>
      <c r="G100" s="3" t="n">
        <v>399</v>
      </c>
      <c r="H100" s="3" t="n">
        <v>7</v>
      </c>
      <c r="I100" s="3" t="n">
        <v>6</v>
      </c>
      <c r="J100" s="3" t="inlineStr">
        <is>
          <t>現在、算定している</t>
        </is>
      </c>
      <c r="K100" s="3" t="inlineStr">
        <is>
          <t>筋力増強運動, DVT予防, ポジショニング, 自主運動指導, 術後リハビリテーションのオリエンテーション</t>
        </is>
      </c>
      <c r="L100" s="3" t="inlineStr">
        <is>
          <t>全症例の0％〜24％程度</t>
        </is>
      </c>
      <c r="N100" s="3" t="inlineStr">
        <is>
          <t>全症例の25％〜49％程度</t>
        </is>
      </c>
      <c r="P100" s="3" t="inlineStr">
        <is>
          <t>全症例の25％〜49％程度</t>
        </is>
      </c>
      <c r="R100" s="3" t="inlineStr">
        <is>
          <t>全症例の0％〜24％程度</t>
        </is>
      </c>
      <c r="T100" s="3" t="inlineStr">
        <is>
          <t>握力, 歩行速度, TUG, 下腿周径</t>
        </is>
      </c>
      <c r="V100" s="3" t="inlineStr">
        <is>
          <t>認知機能</t>
        </is>
      </c>
      <c r="X100" s="3" t="inlineStr">
        <is>
          <t>ロコモ25（質問票）</t>
        </is>
      </c>
      <c r="Z100" s="3" t="inlineStr">
        <is>
          <t>Barthel Index（BI）, FIM</t>
        </is>
      </c>
      <c r="AB100" s="3" t="inlineStr">
        <is>
          <t>MMSE, HDS-R</t>
        </is>
      </c>
      <c r="AD100" s="3" t="inlineStr">
        <is>
          <t>認知機能</t>
        </is>
      </c>
      <c r="AF100" s="3" t="inlineStr">
        <is>
          <t>決まっていない</t>
        </is>
      </c>
      <c r="AI100" s="3" t="inlineStr">
        <is>
          <t>下肢筋力強化, バランス練習, 歩行練習, 認知面への介入, 教育、指導</t>
        </is>
      </c>
    </row>
    <row r="101" ht="22.5" customHeight="1">
      <c r="A101" s="32" t="n">
        <v>46094.54021835648</v>
      </c>
      <c r="B101" s="3" t="inlineStr">
        <is>
          <t>作業療法士　高木</t>
        </is>
      </c>
      <c r="C101" s="3" t="inlineStr">
        <is>
          <t>社会福祉法人恩賜財団済生会支部広島県済生会　済生会広島病院</t>
        </is>
      </c>
      <c r="D101" s="3" t="inlineStr">
        <is>
          <t>広島県</t>
        </is>
      </c>
      <c r="E101" s="3" t="inlineStr">
        <is>
          <t>i.takaki@saiseikai.com</t>
        </is>
      </c>
      <c r="F101" s="3" t="inlineStr">
        <is>
          <t>リハビリテーション室</t>
        </is>
      </c>
      <c r="G101" s="3" t="n">
        <v>131</v>
      </c>
      <c r="H101" s="3" t="n">
        <v>26</v>
      </c>
      <c r="I101" s="3" t="n">
        <v>16</v>
      </c>
      <c r="J101" s="3" t="inlineStr">
        <is>
          <t>届け出をしておらず、検討もしていない</t>
        </is>
      </c>
      <c r="K101" s="3" t="inlineStr">
        <is>
          <t>関節可動域運動, DVT予防, ポジショニング, 自主運動指導</t>
        </is>
      </c>
      <c r="L101" s="3" t="inlineStr">
        <is>
          <t>全症例の0％〜24％程度</t>
        </is>
      </c>
      <c r="N101" s="3" t="inlineStr">
        <is>
          <t>全症例の0％〜24％程度</t>
        </is>
      </c>
      <c r="P101" s="3" t="inlineStr">
        <is>
          <t>全症例の0％〜24％程度</t>
        </is>
      </c>
      <c r="R101" s="3" t="inlineStr">
        <is>
          <t>全症例の0％〜24％程度</t>
        </is>
      </c>
      <c r="T101" s="3" t="inlineStr">
        <is>
          <t>握力, 下腿周径</t>
        </is>
      </c>
      <c r="V101" s="3" t="inlineStr">
        <is>
          <t>握力</t>
        </is>
      </c>
      <c r="X101" s="3" t="inlineStr">
        <is>
          <t>実施していない</t>
        </is>
      </c>
      <c r="Z101" s="3" t="inlineStr">
        <is>
          <t>Barthel Index（BI）, FIM</t>
        </is>
      </c>
      <c r="AB101" s="3" t="inlineStr">
        <is>
          <t>MMSE, HDS-R, MoCA</t>
        </is>
      </c>
      <c r="AD101" s="3" t="inlineStr">
        <is>
          <t>実施していない</t>
        </is>
      </c>
      <c r="AE101" s="3" t="inlineStr">
        <is>
          <t>理学療法士、作業療法士が個々に実施しており、FLS活動の一環としては行なっていません</t>
        </is>
      </c>
      <c r="AI101" s="3" t="inlineStr">
        <is>
          <t>下肢筋力強化, バランス練習, 歩行練習, 歩容改善, 起立、着座動作練習, 環境調整, 補助具、装具の適正化, 認知面への介入, 行動面への介入, 教育、指導</t>
        </is>
      </c>
    </row>
    <row r="102" ht="22.5" customHeight="1">
      <c r="A102" s="32" t="n">
        <v>46094.697390625</v>
      </c>
      <c r="B102" s="3" t="inlineStr">
        <is>
          <t>前川貴裕</t>
        </is>
      </c>
      <c r="C102" s="3" t="inlineStr">
        <is>
          <t>医療法人社団浅ノ川　浅ノ川総合病院</t>
        </is>
      </c>
      <c r="D102" s="3" t="inlineStr">
        <is>
          <t>石川県</t>
        </is>
      </c>
      <c r="E102" s="3" t="inlineStr">
        <is>
          <t>ta.ka.hi.ro.m@gmail.com</t>
        </is>
      </c>
      <c r="F102" s="3" t="inlineStr">
        <is>
          <t>リハビリテーションセンター／理学療法士</t>
        </is>
      </c>
      <c r="G102" s="3" t="n">
        <v>136</v>
      </c>
      <c r="H102" s="3" t="n">
        <v>6</v>
      </c>
      <c r="I102" s="3" t="n">
        <v>0</v>
      </c>
      <c r="J102" s="3" t="inlineStr">
        <is>
          <t>届け出をしておらず、検討もしていない</t>
        </is>
      </c>
      <c r="K102" s="3" t="inlineStr">
        <is>
          <t>関節可動域運動, 筋力増強運動, 呼吸リハビリテーション, DVT予防, ポジショニング, 自主運動指導, 術後リハビリテーションのオリエンテーション</t>
        </is>
      </c>
      <c r="L102" s="3" t="inlineStr">
        <is>
          <t>全症例の75％〜100％程度</t>
        </is>
      </c>
      <c r="M102" s="3" t="inlineStr">
        <is>
          <t>特になし</t>
        </is>
      </c>
      <c r="N102" s="3" t="inlineStr">
        <is>
          <t>全症例の0％〜24％程度</t>
        </is>
      </c>
      <c r="P102" s="3" t="inlineStr">
        <is>
          <t>全症例の0％〜24％程度</t>
        </is>
      </c>
      <c r="R102" s="3" t="inlineStr">
        <is>
          <t>全症例の0％〜24％程度</t>
        </is>
      </c>
      <c r="T102" s="3" t="inlineStr">
        <is>
          <t>握力, 5回椅子立ち上がりテスト, 歩行速度</t>
        </is>
      </c>
      <c r="V102" s="3" t="inlineStr">
        <is>
          <t>握力</t>
        </is>
      </c>
      <c r="X102" s="3" t="inlineStr">
        <is>
          <t>実施していない</t>
        </is>
      </c>
      <c r="Y102" s="3" t="inlineStr">
        <is>
          <t>骨折している時点でロコモはあると思われ評価を行う重要度が低いと思い評価していない</t>
        </is>
      </c>
      <c r="Z102" s="3" t="inlineStr">
        <is>
          <t>Barthel Index（BI）</t>
        </is>
      </c>
      <c r="AB102" s="3" t="inlineStr">
        <is>
          <t>HDS-R</t>
        </is>
      </c>
      <c r="AD102" s="3" t="inlineStr">
        <is>
          <t>実施していない</t>
        </is>
      </c>
      <c r="AE102" s="3" t="inlineStr">
        <is>
          <t>FLS活動の一環として実施することを定めた評価はない。FLSに関係なく転倒リスクの評価は行っているが、何を行うかは個々の判断にゆだねられている。</t>
        </is>
      </c>
      <c r="AI102" s="3" t="inlineStr">
        <is>
          <t>下肢筋力強化, バランス練習, 歩行練習, 歩容改善, 起立、着座動作練習, 環境調整, 補助具、装具の適正化, 認知面への介入, 行動面への介入, 薬剤調整, 教育、指導</t>
        </is>
      </c>
    </row>
    <row r="103" ht="22.5" customHeight="1">
      <c r="A103" s="32" t="n">
        <v>46094.75899596065</v>
      </c>
      <c r="B103" s="3" t="inlineStr">
        <is>
          <t>八木　格</t>
        </is>
      </c>
      <c r="C103" s="3" t="inlineStr">
        <is>
          <t>鈴鹿中央総合病院</t>
        </is>
      </c>
      <c r="D103" s="3" t="inlineStr">
        <is>
          <t>三重県</t>
        </is>
      </c>
      <c r="E103" s="3" t="inlineStr">
        <is>
          <t>riha@sch.miekosei.or.jp</t>
        </is>
      </c>
      <c r="F103" s="3" t="inlineStr">
        <is>
          <t>リハビリテーション科／理学療法士</t>
        </is>
      </c>
      <c r="G103" s="3" t="n">
        <v>207</v>
      </c>
      <c r="H103" s="3" t="n">
        <v>5</v>
      </c>
      <c r="I103" s="3" t="n">
        <v>2</v>
      </c>
      <c r="J103" s="3" t="inlineStr">
        <is>
          <t>届け出はしていないが、現在検討中である</t>
        </is>
      </c>
      <c r="K103" s="3" t="inlineStr">
        <is>
          <t>筋力増強運動, 呼吸リハビリテーション, DVT予防, ポジショニング, 自主運動指導, 術後リハビリテーションのオリエンテーション</t>
        </is>
      </c>
      <c r="L103" s="3" t="inlineStr">
        <is>
          <t>全症例の0％〜24％程度</t>
        </is>
      </c>
      <c r="N103" s="3" t="inlineStr">
        <is>
          <t>全症例の0％〜24％程度</t>
        </is>
      </c>
      <c r="P103" s="3" t="inlineStr">
        <is>
          <t>全症例の0％〜24％程度</t>
        </is>
      </c>
      <c r="R103" s="3" t="inlineStr">
        <is>
          <t>全症例の0％〜24％程度</t>
        </is>
      </c>
      <c r="T103" s="3" t="inlineStr">
        <is>
          <t>握力, 膝伸展筋力, 歩行速度, TUG, 開眼片脚立位時間, 下腿周径</t>
        </is>
      </c>
      <c r="V103" s="3" t="inlineStr">
        <is>
          <t>J-CHS基準, TUG, 認知機能, 握力</t>
        </is>
      </c>
      <c r="X103" s="3" t="inlineStr">
        <is>
          <t>立ち上がりテスト, 2ステップテスト</t>
        </is>
      </c>
      <c r="Z103" s="3" t="inlineStr">
        <is>
          <t>FIM</t>
        </is>
      </c>
      <c r="AB103" s="3" t="inlineStr">
        <is>
          <t>HDS-R</t>
        </is>
      </c>
      <c r="AD103" s="3" t="inlineStr">
        <is>
          <t>定量的な下肢筋力測定, 開眼片脚立位時間, TUG, 10m歩行速度, 認知機能, せん妄, 過去の転倒歴, 既往疾患の有無（脳血管疾患、パーキンソン病など）, 薬剤（向精神薬、降圧薬、利尿薬、ポリファーマシーなど）, ベッド周囲および病室環境</t>
        </is>
      </c>
      <c r="AF103" s="3" t="inlineStr">
        <is>
          <t>決まっている</t>
        </is>
      </c>
      <c r="AG103" s="3" t="inlineStr">
        <is>
          <t>14日目</t>
        </is>
      </c>
      <c r="AI103" s="3" t="inlineStr">
        <is>
          <t>下肢筋力強化, バランス練習, 歩行練習, 歩容改善, 起立、着座動作練習, 環境調整, 補助具、装具の適正化, 教育、指導</t>
        </is>
      </c>
    </row>
    <row r="104" ht="22.5" customHeight="1">
      <c r="A104" s="32" t="n">
        <v>46096.53858108796</v>
      </c>
      <c r="B104" s="3" t="inlineStr">
        <is>
          <t>三浦　隆之</t>
        </is>
      </c>
      <c r="C104" s="3" t="inlineStr">
        <is>
          <t>青森市民病院</t>
        </is>
      </c>
      <c r="D104" s="3" t="inlineStr">
        <is>
          <t>青森県</t>
        </is>
      </c>
      <c r="E104" s="3" t="inlineStr">
        <is>
          <t>auhw0412022@yahoo.co.jp</t>
        </is>
      </c>
      <c r="F104" s="3" t="inlineStr">
        <is>
          <t>リハビリテーション室／理学療法士</t>
        </is>
      </c>
      <c r="G104" s="3" t="n">
        <v>182</v>
      </c>
      <c r="H104" s="3" t="n">
        <v>7</v>
      </c>
      <c r="I104" s="3" t="n">
        <v>0</v>
      </c>
      <c r="J104" s="3" t="inlineStr">
        <is>
          <t>届け出をしておらず、検討もしていない</t>
        </is>
      </c>
      <c r="K104" s="3" t="inlineStr">
        <is>
          <t>実施していない</t>
        </is>
      </c>
      <c r="L104" s="3" t="inlineStr">
        <is>
          <t>全症例の50％〜74％程度</t>
        </is>
      </c>
      <c r="M104" s="3" t="inlineStr">
        <is>
          <t>なるべく車椅子座位で昼食をとるようにしている</t>
        </is>
      </c>
      <c r="N104" s="3" t="inlineStr">
        <is>
          <t>全症例の25％〜49％程度</t>
        </is>
      </c>
      <c r="P104" s="3" t="inlineStr">
        <is>
          <t>全症例の0％〜24％程度</t>
        </is>
      </c>
      <c r="R104" s="3" t="inlineStr">
        <is>
          <t>全症例の0％〜24％程度</t>
        </is>
      </c>
      <c r="T104" s="3" t="inlineStr">
        <is>
          <t>握力, 歩行速度, TUG, 開眼片脚立位時間, 下腿周径</t>
        </is>
      </c>
      <c r="V104" s="3" t="inlineStr">
        <is>
          <t>TUG, 認知機能, 握力</t>
        </is>
      </c>
      <c r="X104" s="3" t="inlineStr">
        <is>
          <t>実施していない</t>
        </is>
      </c>
      <c r="Y104" s="3" t="inlineStr">
        <is>
          <t>術後疼痛などの影響により実施できないことが多い。人員が少なく評価項目を選別せざるを得ない。</t>
        </is>
      </c>
      <c r="Z104" s="3" t="inlineStr">
        <is>
          <t>Barthel Index（BI）, FIM</t>
        </is>
      </c>
      <c r="AB104" s="3" t="inlineStr">
        <is>
          <t>MMSE, HDS-R</t>
        </is>
      </c>
      <c r="AD104" s="3" t="inlineStr">
        <is>
          <t>開眼片脚立位時間, TUG, 10m歩行速度, 認知機能, 過去の転倒歴, 握力、下腿周径</t>
        </is>
      </c>
      <c r="AF104" s="3" t="inlineStr">
        <is>
          <t>決まっている</t>
        </is>
      </c>
      <c r="AG104" s="3" t="inlineStr">
        <is>
          <t>項目によって違い、
握力や認知機能は遅くても7日目以内、
10メートル歩行やTUGは14日目以内（転院前、杖歩行以上可能な方に限定）</t>
        </is>
      </c>
      <c r="AI104" s="3" t="inlineStr">
        <is>
          <t>下肢筋力強化, バランス練習, 歩行練習, 歩容改善, 起立、着座動作練習, 補助具、装具の適正化, 教育、指導</t>
        </is>
      </c>
    </row>
    <row r="105" ht="22.5" customHeight="1">
      <c r="A105" s="32" t="n">
        <v>46096.68524392361</v>
      </c>
      <c r="B105" s="3" t="inlineStr">
        <is>
          <t>理学療法士</t>
        </is>
      </c>
      <c r="C105" s="3" t="inlineStr">
        <is>
          <t>尾道市立市民病院</t>
        </is>
      </c>
      <c r="D105" s="3" t="inlineStr">
        <is>
          <t>広島県</t>
        </is>
      </c>
      <c r="E105" s="3" t="inlineStr">
        <is>
          <t>amazaki.tamio@omhp.jp</t>
        </is>
      </c>
      <c r="F105" s="3" t="inlineStr">
        <is>
          <t>リハビリテーション科／理学療法士</t>
        </is>
      </c>
      <c r="G105" s="3" t="n">
        <v>175</v>
      </c>
      <c r="H105" s="3" t="n">
        <v>13</v>
      </c>
      <c r="I105" s="3" t="n">
        <v>1</v>
      </c>
      <c r="J105" s="3" t="inlineStr">
        <is>
          <t>届け出はしていないが、現在検討中である</t>
        </is>
      </c>
      <c r="K105" s="3" t="inlineStr">
        <is>
          <t>筋力増強運動, 術後リハビリテーションのオリエンテーション</t>
        </is>
      </c>
      <c r="L105" s="3" t="inlineStr">
        <is>
          <t>全症例の25％〜49％程度</t>
        </is>
      </c>
      <c r="N105" s="3" t="inlineStr">
        <is>
          <t>全症例の25％〜49％程度</t>
        </is>
      </c>
      <c r="P105" s="3" t="inlineStr">
        <is>
          <t>全症例の25％〜49％程度</t>
        </is>
      </c>
      <c r="R105" s="3" t="inlineStr">
        <is>
          <t>全症例の0％〜24％程度</t>
        </is>
      </c>
      <c r="T105" s="3" t="inlineStr">
        <is>
          <t>握力, 膝伸展筋力, 歩行速度, TUG</t>
        </is>
      </c>
      <c r="V105" s="3" t="inlineStr">
        <is>
          <t>TUG, 認知機能, 握力</t>
        </is>
      </c>
      <c r="X105" s="3" t="inlineStr">
        <is>
          <t>立ち上がりテスト</t>
        </is>
      </c>
      <c r="Z105" s="3" t="inlineStr">
        <is>
          <t>Barthel Index（BI）</t>
        </is>
      </c>
      <c r="AB105" s="3" t="inlineStr">
        <is>
          <t>HDS-R</t>
        </is>
      </c>
      <c r="AD105" s="3" t="inlineStr">
        <is>
          <t>TUG, 10m歩行速度, 認知機能, 過去の転倒歴</t>
        </is>
      </c>
      <c r="AF105" s="3" t="inlineStr">
        <is>
          <t>決まっていない</t>
        </is>
      </c>
      <c r="AH105" s="3" t="inlineStr">
        <is>
          <t>特になし</t>
        </is>
      </c>
      <c r="AI105" s="3" t="inlineStr">
        <is>
          <t>下肢筋力強化, バランス練習, 歩行練習, 歩容改善, 起立、着座動作練習, 環境調整, 教育、指導</t>
        </is>
      </c>
    </row>
    <row r="106" ht="22.5" customHeight="1">
      <c r="A106" s="32" t="n">
        <v>46097.38002925926</v>
      </c>
      <c r="B106" s="3" t="inlineStr">
        <is>
          <t>木村佳美</t>
        </is>
      </c>
      <c r="C106" s="3" t="inlineStr">
        <is>
          <t>藤枝市立総合病院</t>
        </is>
      </c>
      <c r="D106" s="3" t="inlineStr">
        <is>
          <t>静岡県</t>
        </is>
      </c>
      <c r="E106" s="3" t="inlineStr">
        <is>
          <t>reha@hospital.fujieda.shizuoka.jp</t>
        </is>
      </c>
      <c r="F106" s="3" t="inlineStr">
        <is>
          <t>診療技術部/リハビリテーション科/理学療法士</t>
        </is>
      </c>
      <c r="G106" s="3" t="n">
        <v>364</v>
      </c>
      <c r="H106" s="3" t="n">
        <v>7</v>
      </c>
      <c r="I106" s="3" t="n">
        <v>5</v>
      </c>
      <c r="J106" s="3" t="inlineStr">
        <is>
          <t>届け出はしていないが、現在検討中である</t>
        </is>
      </c>
      <c r="K106" s="3" t="inlineStr">
        <is>
          <t>関節可動域運動, 筋力増強運動, DVT予防, ポジショニング, 自主運動指導, 術後リハビリテーションのオリエンテーション</t>
        </is>
      </c>
      <c r="L106" s="3" t="inlineStr">
        <is>
          <t>全症例の0％〜24％程度</t>
        </is>
      </c>
      <c r="N106" s="3" t="inlineStr">
        <is>
          <t>全症例の0％〜24％程度</t>
        </is>
      </c>
      <c r="P106" s="3" t="inlineStr">
        <is>
          <t>全症例の0％〜24％程度</t>
        </is>
      </c>
      <c r="R106" s="3" t="inlineStr">
        <is>
          <t>全症例の0％〜24％程度</t>
        </is>
      </c>
      <c r="T106" s="3" t="inlineStr">
        <is>
          <t>実施していない</t>
        </is>
      </c>
      <c r="U106" s="3" t="inlineStr">
        <is>
          <t>急性期で痛みあり検査に至らない</t>
        </is>
      </c>
      <c r="V106" s="3" t="inlineStr">
        <is>
          <t>実施していない</t>
        </is>
      </c>
      <c r="W106" s="3" t="inlineStr">
        <is>
          <t>急性期で痛みあり検査に至らない</t>
        </is>
      </c>
      <c r="X106" s="3" t="inlineStr">
        <is>
          <t>実施していない</t>
        </is>
      </c>
      <c r="Y106" s="3" t="inlineStr">
        <is>
          <t>急性期で痛みあり検査に至らない</t>
        </is>
      </c>
      <c r="Z106" s="3" t="inlineStr">
        <is>
          <t>Barthel Index（BI）</t>
        </is>
      </c>
      <c r="AB106" s="3" t="inlineStr">
        <is>
          <t>HDS-R, AMTS</t>
        </is>
      </c>
      <c r="AD106" s="3" t="inlineStr">
        <is>
          <t>実施していない</t>
        </is>
      </c>
      <c r="AE106" s="3" t="inlineStr">
        <is>
          <t>転倒リスクの評価を当院では看護師が行うこととなっている。行っている評価はあるが、あえて転倒リスク評価としては行っていない。</t>
        </is>
      </c>
      <c r="AI106" s="3" t="inlineStr">
        <is>
          <t>下肢筋力強化, バランス練習, 歩行練習, 歩容改善, 起立、着座動作練習, 環境調整, 補助具、装具の適正化, 認知面への介入, 教育、指導</t>
        </is>
      </c>
    </row>
    <row r="107" ht="22.5" customHeight="1">
      <c r="A107" s="32" t="n">
        <v>46097.56031409722</v>
      </c>
      <c r="B107" s="3" t="inlineStr">
        <is>
          <t>佐藤拓也</t>
        </is>
      </c>
      <c r="C107" s="3" t="inlineStr">
        <is>
          <t>佐久市立国保浅間総合病院</t>
        </is>
      </c>
      <c r="D107" s="3" t="inlineStr">
        <is>
          <t>長野県</t>
        </is>
      </c>
      <c r="E107" s="3" t="inlineStr">
        <is>
          <t>h-rehabili@city.saku.nagano.jp</t>
        </is>
      </c>
      <c r="F107" s="3" t="inlineStr">
        <is>
          <t>リハビリテーション科　作業療法士</t>
        </is>
      </c>
      <c r="G107" s="3" t="n">
        <v>120</v>
      </c>
      <c r="H107" s="3" t="n">
        <v>16</v>
      </c>
      <c r="I107" s="3" t="n">
        <v>10</v>
      </c>
      <c r="J107" s="3" t="inlineStr">
        <is>
          <t>届け出をしておらず、検討もしていない</t>
        </is>
      </c>
      <c r="K107" s="3" t="inlineStr">
        <is>
          <t>関節可動域運動, 筋力増強運動, リラクセーション, ポジショニング, 自主運動指導</t>
        </is>
      </c>
      <c r="L107" s="3" t="inlineStr">
        <is>
          <t>全症例の50％〜74％程度</t>
        </is>
      </c>
      <c r="M107" s="3" t="inlineStr">
        <is>
          <t>ROMex、筋力強化</t>
        </is>
      </c>
      <c r="N107" s="3" t="inlineStr">
        <is>
          <t>全症例の0％〜24％程度</t>
        </is>
      </c>
      <c r="P107" s="3" t="inlineStr">
        <is>
          <t>全症例の0％〜24％程度</t>
        </is>
      </c>
      <c r="R107" s="3" t="inlineStr">
        <is>
          <t>全症例の0％〜24％程度</t>
        </is>
      </c>
      <c r="T107" s="3" t="inlineStr">
        <is>
          <t>握力, 歩行速度, 開眼片脚立位時間, 下腿周径</t>
        </is>
      </c>
      <c r="V107" s="3" t="inlineStr">
        <is>
          <t>実施していない</t>
        </is>
      </c>
      <c r="W107" s="3" t="inlineStr">
        <is>
          <t>フレイルに対する決まった評価項目を設けていない</t>
        </is>
      </c>
      <c r="X107" s="3" t="inlineStr">
        <is>
          <t>実施していない</t>
        </is>
      </c>
      <c r="Y107" s="3" t="inlineStr">
        <is>
          <t>ロコモティブシンドロームに対する決まった評価項目を設けていない</t>
        </is>
      </c>
      <c r="Z107" s="3" t="inlineStr">
        <is>
          <t>Barthel Index（BI）, FIM</t>
        </is>
      </c>
      <c r="AB107" s="3" t="inlineStr">
        <is>
          <t>MMSE, HDS-R, MoCA, AMTS</t>
        </is>
      </c>
      <c r="AD107" s="3" t="inlineStr">
        <is>
          <t>実施していない</t>
        </is>
      </c>
      <c r="AE107" s="3" t="inlineStr">
        <is>
          <t>決まった評価項目を設けていない</t>
        </is>
      </c>
      <c r="AI107" s="3" t="inlineStr">
        <is>
          <t>下肢筋力強化, バランス練習, 歩行練習, 歩容改善, 起立、着座動作練習, 環境調整, 補助具、装具の適正化, 認知面への介入, 行動面への介入</t>
        </is>
      </c>
    </row>
    <row r="108" ht="22.5" customHeight="1">
      <c r="A108" s="32" t="n">
        <v>46097.58639079861</v>
      </c>
      <c r="B108" s="3" t="inlineStr">
        <is>
          <t>理学療法士</t>
        </is>
      </c>
      <c r="C108" s="3" t="inlineStr">
        <is>
          <t>大分県済生会日田病院</t>
        </is>
      </c>
      <c r="D108" s="3" t="inlineStr">
        <is>
          <t>大分県</t>
        </is>
      </c>
      <c r="E108" s="3" t="inlineStr">
        <is>
          <t>ken.avi.hisatsune@gmail.com</t>
        </is>
      </c>
      <c r="F108" s="3" t="inlineStr">
        <is>
          <t>リハビリテーション部／理学療法士</t>
        </is>
      </c>
      <c r="G108" s="3" t="n">
        <v>63</v>
      </c>
      <c r="H108" s="3" t="n">
        <v>10</v>
      </c>
      <c r="I108" s="3" t="n">
        <v>6</v>
      </c>
      <c r="J108" s="3" t="inlineStr">
        <is>
          <t>届け出はしていないが、現在検討中である</t>
        </is>
      </c>
      <c r="K108" s="3" t="inlineStr">
        <is>
          <t>関節可動域運動, 筋力増強運動, ポジショニング, 術後リハビリテーションのオリエンテーション</t>
        </is>
      </c>
      <c r="L108" s="3" t="inlineStr">
        <is>
          <t>全症例の50％〜74％程度</t>
        </is>
      </c>
      <c r="N108" s="3" t="inlineStr">
        <is>
          <t>全症例の0％〜24％程度</t>
        </is>
      </c>
      <c r="P108" s="3" t="inlineStr">
        <is>
          <t>全症例の0％〜24％程度</t>
        </is>
      </c>
      <c r="R108" s="3" t="inlineStr">
        <is>
          <t>全症例の0％〜24％程度</t>
        </is>
      </c>
      <c r="T108" s="3" t="inlineStr">
        <is>
          <t>握力, 5回椅子立ち上がりテスト, 歩行速度, SPPB, TUG, 開眼片脚立位時間, 下腿周径</t>
        </is>
      </c>
      <c r="V108" s="3" t="inlineStr">
        <is>
          <t>J-CHS基準, TUG, 認知機能, 抑うつや意欲低下, 握力</t>
        </is>
      </c>
      <c r="X108" s="3" t="inlineStr">
        <is>
          <t>実施していない</t>
        </is>
      </c>
      <c r="Y108" s="3" t="inlineStr">
        <is>
          <t>特になし</t>
        </is>
      </c>
      <c r="Z108" s="3" t="inlineStr">
        <is>
          <t>Barthel Index（BI）, FIM</t>
        </is>
      </c>
      <c r="AB108" s="3" t="inlineStr">
        <is>
          <t>MMSE, HDS-R, AMTS</t>
        </is>
      </c>
      <c r="AD108" s="3" t="inlineStr">
        <is>
          <t>開眼片脚立位時間, TUG, 10m歩行速度, SPPB、Functional Reach Test（FRT）, 5回椅子立ち上がりテスト, 認知機能, 注意障害, 過去の転倒歴, ベッド周囲および病室環境</t>
        </is>
      </c>
      <c r="AF108" s="3" t="inlineStr">
        <is>
          <t>決まっている</t>
        </is>
      </c>
      <c r="AG108" s="3" t="inlineStr">
        <is>
          <t>術後１週間以内、術後１か月、退院前、退院後初回外来</t>
        </is>
      </c>
      <c r="AI108" s="3" t="inlineStr">
        <is>
          <t>下肢筋力強化, バランス練習, 歩行練習, 歩容改善, 起立、着座動作練習, 環境調整, 補助具、装具の適正化, 認知面への介入, 行動面への介入, 教育、指導</t>
        </is>
      </c>
    </row>
    <row r="109" ht="22.5" customHeight="1">
      <c r="A109" s="32" t="n">
        <v>46097.59093387731</v>
      </c>
      <c r="B109" s="3" t="inlineStr">
        <is>
          <t>武田治憲</t>
        </is>
      </c>
      <c r="C109" s="3" t="inlineStr">
        <is>
          <t>社会医療法人美杉会男山病院</t>
        </is>
      </c>
      <c r="D109" s="3" t="inlineStr">
        <is>
          <t>京都府</t>
        </is>
      </c>
      <c r="E109" s="3" t="inlineStr">
        <is>
          <t>riha_otokoyama@misugikai.jp</t>
        </is>
      </c>
      <c r="F109" s="3" t="inlineStr">
        <is>
          <t>リハビリテーション部/理学療法士</t>
        </is>
      </c>
      <c r="G109" s="3" t="n">
        <v>90</v>
      </c>
      <c r="H109" s="3" t="n">
        <v>24</v>
      </c>
      <c r="I109" s="3" t="n">
        <v>9</v>
      </c>
      <c r="J109" s="3" t="inlineStr">
        <is>
          <t>届け出をしておらず、検討もしていない</t>
        </is>
      </c>
      <c r="K109" s="3" t="inlineStr">
        <is>
          <t>関節可動域運動, 筋力増強運動, DVT予防, ポジショニング, 自主運動指導, 術後リハビリテーションのオリエンテーション, 離床（例：車椅子移乗,立位,歩行など）</t>
        </is>
      </c>
      <c r="L109" s="3" t="inlineStr">
        <is>
          <t>全症例の25％〜49％程度</t>
        </is>
      </c>
      <c r="N109" s="3" t="inlineStr">
        <is>
          <t>全症例の0％〜24％程度</t>
        </is>
      </c>
      <c r="P109" s="3" t="inlineStr">
        <is>
          <t>全症例の0％〜24％程度</t>
        </is>
      </c>
      <c r="R109" s="3" t="inlineStr">
        <is>
          <t>全症例の0％〜24％程度</t>
        </is>
      </c>
      <c r="T109" s="3" t="inlineStr">
        <is>
          <t>握力, 膝伸展筋力, 5回椅子立ち上がりテスト, TUG, 6分間歩行距離, 開眼片脚立位時間, 下腿周径</t>
        </is>
      </c>
      <c r="V109" s="3" t="inlineStr">
        <is>
          <t>TUG, 6分間歩行距離, 認知機能, 握力</t>
        </is>
      </c>
      <c r="X109" s="3" t="inlineStr">
        <is>
          <t>立ち上がりテスト</t>
        </is>
      </c>
      <c r="Z109" s="3" t="inlineStr">
        <is>
          <t>Barthel Index（BI）, FIM</t>
        </is>
      </c>
      <c r="AB109" s="3" t="inlineStr">
        <is>
          <t>MMSE, HDS-R</t>
        </is>
      </c>
      <c r="AD109" s="3" t="inlineStr">
        <is>
          <t>開眼片脚立位時間, Berg Balance Scale（BBS）, SPPB、Functional Reach Test（FRT）, 5回椅子立ち上がりテスト, 転倒恐怖感, 過去の転倒歴</t>
        </is>
      </c>
      <c r="AF109" s="3" t="inlineStr">
        <is>
          <t>決まっていない</t>
        </is>
      </c>
      <c r="AH109" s="3" t="inlineStr">
        <is>
          <t>全身状態や離床状況によって、実施できる時期が異なるため。</t>
        </is>
      </c>
      <c r="AI109" s="3" t="inlineStr">
        <is>
          <t>下肢筋力強化, バランス練習, 歩行練習, 歩容改善, 起立、着座動作練習, 環境調整, 補助具、装具の適正化, 教育、指導</t>
        </is>
      </c>
    </row>
    <row r="110" ht="22.5" customHeight="1">
      <c r="A110" s="32" t="n">
        <v>46097.66067390046</v>
      </c>
      <c r="B110" s="3" t="inlineStr">
        <is>
          <t>近田　浩典</t>
        </is>
      </c>
      <c r="C110" s="3" t="inlineStr">
        <is>
          <t>医療法人永井病院</t>
        </is>
      </c>
      <c r="D110" s="3" t="inlineStr">
        <is>
          <t>三重県</t>
        </is>
      </c>
      <c r="E110" s="3" t="inlineStr">
        <is>
          <t>konda@nagai-hp.or.jp</t>
        </is>
      </c>
      <c r="F110" s="3" t="inlineStr">
        <is>
          <t>リハビリテーション科　理学療法士</t>
        </is>
      </c>
      <c r="G110" s="3" t="n">
        <v>180</v>
      </c>
      <c r="H110" s="3" t="n">
        <v>42</v>
      </c>
      <c r="I110" s="3" t="n">
        <v>12</v>
      </c>
      <c r="J110" s="3" t="inlineStr">
        <is>
          <t>届け出はしていないが、現在検討中である</t>
        </is>
      </c>
      <c r="K110" s="3" t="inlineStr">
        <is>
          <t>実施していない</t>
        </is>
      </c>
      <c r="L110" s="3" t="inlineStr">
        <is>
          <t>全症例の25％〜49％程度</t>
        </is>
      </c>
      <c r="N110" s="3" t="inlineStr">
        <is>
          <t>全症例の0％〜24％程度</t>
        </is>
      </c>
      <c r="P110" s="3" t="inlineStr">
        <is>
          <t>全症例の0％〜24％程度</t>
        </is>
      </c>
      <c r="R110" s="3" t="inlineStr">
        <is>
          <t>全症例の0％〜24％程度</t>
        </is>
      </c>
      <c r="T110" s="3" t="inlineStr">
        <is>
          <t>膝伸展筋力, 歩行速度, TUG, 下腿周径</t>
        </is>
      </c>
      <c r="V110" s="3" t="inlineStr">
        <is>
          <t>TUG, 握力</t>
        </is>
      </c>
      <c r="X110" s="3" t="inlineStr">
        <is>
          <t>立ち上がりテスト</t>
        </is>
      </c>
      <c r="Z110" s="3" t="inlineStr">
        <is>
          <t>Barthel Index（BI）, FIM</t>
        </is>
      </c>
      <c r="AB110" s="3" t="inlineStr">
        <is>
          <t>MMSE, HDS-R, AMTS</t>
        </is>
      </c>
      <c r="AD110" s="3" t="inlineStr">
        <is>
          <t>定量的な下肢筋力測定, 開眼片脚立位時間, TUG, 10m歩行速度, 過去の転倒歴, 既往疾患の有無（脳血管疾患、パーキンソン病など）</t>
        </is>
      </c>
      <c r="AF110" s="3" t="inlineStr">
        <is>
          <t>決まっている</t>
        </is>
      </c>
      <c r="AG110" s="3" t="inlineStr">
        <is>
          <t>初期評価は術語3日目でその後治療が継続していれば、１か月目、３か月目、６か月目</t>
        </is>
      </c>
      <c r="AI110" s="3" t="inlineStr">
        <is>
          <t>下肢筋力強化, バランス練習, 歩行練習, 起立、着座動作練習, 認知面への介入</t>
        </is>
      </c>
    </row>
    <row r="111" ht="22.5" customHeight="1">
      <c r="A111" s="32" t="n">
        <v>46097.67322606481</v>
      </c>
      <c r="B111" s="3" t="inlineStr">
        <is>
          <t>志村　繭子</t>
        </is>
      </c>
      <c r="C111" s="3" t="inlineStr">
        <is>
          <t>医療法人社団景翠会　金沢病院</t>
        </is>
      </c>
      <c r="D111" s="3" t="inlineStr">
        <is>
          <t>神奈川県</t>
        </is>
      </c>
      <c r="E111" s="3" t="inlineStr">
        <is>
          <t>reha_2013040@yahoo.co.jp</t>
        </is>
      </c>
      <c r="F111" s="3" t="inlineStr">
        <is>
          <t>リハビリテーション科／理学療法士</t>
        </is>
      </c>
      <c r="G111" s="3" t="n">
        <v>116</v>
      </c>
      <c r="H111" s="3" t="n">
        <v>18</v>
      </c>
      <c r="I111" s="3" t="n">
        <v>3</v>
      </c>
      <c r="J111" s="3" t="inlineStr">
        <is>
          <t>届け出をしておらず、検討もしていない</t>
        </is>
      </c>
      <c r="K111" s="3" t="inlineStr">
        <is>
          <t>関節可動域運動, 筋力増強運動, 呼吸リハビリテーション, DVT予防, リラクセーション, ポジショニング, 自主運動指導, 術後リハビリテーションのオリエンテーション, 離床（例：車椅子移乗,立位,歩行など）</t>
        </is>
      </c>
      <c r="L111" s="3" t="inlineStr">
        <is>
          <t>全症例の0％〜24％程度</t>
        </is>
      </c>
      <c r="N111" s="3" t="inlineStr">
        <is>
          <t>全症例の0％〜24％程度</t>
        </is>
      </c>
      <c r="P111" s="3" t="inlineStr">
        <is>
          <t>全症例の0％〜24％程度</t>
        </is>
      </c>
      <c r="R111" s="3" t="inlineStr">
        <is>
          <t>全症例の0％〜24％程度</t>
        </is>
      </c>
      <c r="T111" s="3" t="inlineStr">
        <is>
          <t>握力, 膝伸展筋力, 歩行速度, 6分間歩行距離, 開眼片脚立位時間, 下腿周径</t>
        </is>
      </c>
      <c r="V111" s="3" t="inlineStr">
        <is>
          <t>TUG, 6分間歩行距離, 認知機能, 握力</t>
        </is>
      </c>
      <c r="X111" s="3" t="inlineStr">
        <is>
          <t>立ち上がりテスト</t>
        </is>
      </c>
      <c r="Z111" s="3" t="inlineStr">
        <is>
          <t>Barthel Index（BI）, FIM</t>
        </is>
      </c>
      <c r="AB111" s="3" t="inlineStr">
        <is>
          <t>MMSE, HDS-R, AMTS</t>
        </is>
      </c>
      <c r="AD111" s="3" t="inlineStr">
        <is>
          <t>認知機能, ベッド周囲および病室環境</t>
        </is>
      </c>
      <c r="AF111" s="3" t="inlineStr">
        <is>
          <t>決まっていない</t>
        </is>
      </c>
      <c r="AH111" s="3" t="inlineStr">
        <is>
          <t>看護部が主体であり、転倒に関しても別の委員会主体で評価を行っているため</t>
        </is>
      </c>
      <c r="AI111" s="3" t="inlineStr">
        <is>
          <t>下肢筋力強化, バランス練習, 歩行練習, 歩容改善, 起立、着座動作練習, 環境調整, 認知面への介入, 教育、指導</t>
        </is>
      </c>
    </row>
    <row r="112" ht="22.5" customHeight="1">
      <c r="A112" s="32" t="n">
        <v>46097.70763497685</v>
      </c>
      <c r="B112" s="3" t="inlineStr">
        <is>
          <t>山岸　正幸</t>
        </is>
      </c>
      <c r="C112" s="3" t="inlineStr">
        <is>
          <t>独立行政法人　国立病院機構　栃木医療センター</t>
        </is>
      </c>
      <c r="D112" s="3" t="inlineStr">
        <is>
          <t>栃木県</t>
        </is>
      </c>
      <c r="E112" s="3" t="inlineStr">
        <is>
          <t>yamagishi.masayuki.wf@mail.hosp.go.jp</t>
        </is>
      </c>
      <c r="F112" s="3" t="inlineStr">
        <is>
          <t>リハビリテーション科　理学療法士長</t>
        </is>
      </c>
      <c r="G112" s="3" t="n">
        <v>199</v>
      </c>
      <c r="H112" s="3" t="n">
        <v>12</v>
      </c>
      <c r="I112" s="3" t="n">
        <v>8</v>
      </c>
      <c r="J112" s="3" t="inlineStr">
        <is>
          <t>届け出をしておらず、検討もしていない</t>
        </is>
      </c>
      <c r="K112" s="3" t="inlineStr">
        <is>
          <t>関節可動域運動, 呼吸リハビリテーション, DVT予防, リラクセーション, ポジショニング, 自主運動指導, 術後リハビリテーションのオリエンテーション</t>
        </is>
      </c>
      <c r="L112" s="3" t="inlineStr">
        <is>
          <t>全症例の50％〜74％程度</t>
        </is>
      </c>
      <c r="M112" s="3" t="inlineStr">
        <is>
          <t>多職種連携</t>
        </is>
      </c>
      <c r="N112" s="3" t="inlineStr">
        <is>
          <t>全症例の25％〜49％程度</t>
        </is>
      </c>
      <c r="P112" s="3" t="inlineStr">
        <is>
          <t>全症例の0％〜24％程度</t>
        </is>
      </c>
      <c r="R112" s="3" t="inlineStr">
        <is>
          <t>全症例の0％〜24％程度</t>
        </is>
      </c>
      <c r="T112" s="3" t="inlineStr">
        <is>
          <t>握力, 歩行速度, TUG, 6分間歩行距離</t>
        </is>
      </c>
      <c r="V112" s="3" t="inlineStr">
        <is>
          <t>握力</t>
        </is>
      </c>
      <c r="X112" s="3" t="inlineStr">
        <is>
          <t>2ステップテスト</t>
        </is>
      </c>
      <c r="Z112" s="3" t="inlineStr">
        <is>
          <t>Barthel Index（BI）</t>
        </is>
      </c>
      <c r="AB112" s="3" t="inlineStr">
        <is>
          <t>MMSE, HDS-R</t>
        </is>
      </c>
      <c r="AD112" s="3" t="inlineStr">
        <is>
          <t>定量的な下肢筋力測定, 開眼片脚立位時間, TUG, Berg Balance Scale（BBS）, 深部感覚評価, 認知機能, 注意障害, 過去の転倒歴, 既往疾患の有無（脳血管疾患、パーキンソン病など）, 薬剤（向精神薬、降圧薬、利尿薬、ポリファーマシーなど）, ベッド周囲および病室環境</t>
        </is>
      </c>
      <c r="AF112" s="3" t="inlineStr">
        <is>
          <t>決まっていない</t>
        </is>
      </c>
      <c r="AI112" s="3" t="inlineStr">
        <is>
          <t>下肢筋力強化, バランス練習, 歩行練習, 歩容改善, 起立、着座動作練習, 環境調整, 補助具、装具の適正化, 認知面への介入, 行動面への介入, 薬剤調整, 教育、指導</t>
        </is>
      </c>
    </row>
    <row r="113" ht="22.5" customHeight="1">
      <c r="A113" s="32" t="n">
        <v>46097.729595</v>
      </c>
      <c r="B113" s="3" t="inlineStr">
        <is>
          <t>大内　尊久</t>
        </is>
      </c>
      <c r="C113" s="3" t="inlineStr">
        <is>
          <t>公立岩瀬病院</t>
        </is>
      </c>
      <c r="D113" s="3" t="inlineStr">
        <is>
          <t>福島県</t>
        </is>
      </c>
      <c r="E113" s="3" t="inlineStr">
        <is>
          <t>kikakujyouhou@iwase-hp.jp</t>
        </is>
      </c>
      <c r="F113" s="3" t="inlineStr">
        <is>
          <t>リハビリテーション室　作業療法士</t>
        </is>
      </c>
      <c r="G113" s="3" t="n">
        <v>71</v>
      </c>
      <c r="H113" s="3" t="n">
        <v>9</v>
      </c>
      <c r="I113" s="3" t="n">
        <v>5</v>
      </c>
      <c r="J113" s="3" t="inlineStr">
        <is>
          <t>届け出をしておらず、検討もしていない</t>
        </is>
      </c>
      <c r="K113" s="3" t="inlineStr">
        <is>
          <t>関節可動域運動, 筋力増強運動, 全患者ではなく状態に応じて主治医の指示により実施</t>
        </is>
      </c>
      <c r="L113" s="3" t="inlineStr">
        <is>
          <t>全症例の75％〜100％程度</t>
        </is>
      </c>
      <c r="M113" s="3" t="inlineStr">
        <is>
          <t>午前、午後それぞれで積極的に介入</t>
        </is>
      </c>
      <c r="N113" s="3" t="inlineStr">
        <is>
          <t>全症例の25％〜49％程度</t>
        </is>
      </c>
      <c r="P113" s="3" t="inlineStr">
        <is>
          <t>全症例の0％〜24％程度</t>
        </is>
      </c>
      <c r="R113" s="3" t="inlineStr">
        <is>
          <t>全症例の0％〜24％程度</t>
        </is>
      </c>
      <c r="T113" s="3" t="inlineStr">
        <is>
          <t>握力, 膝伸展筋力</t>
        </is>
      </c>
      <c r="V113" s="3" t="inlineStr">
        <is>
          <t>実施していない</t>
        </is>
      </c>
      <c r="W113" s="3" t="inlineStr">
        <is>
          <t>職場としてお取り組みはないが、担当者の判断で実施することもある</t>
        </is>
      </c>
      <c r="X113" s="3" t="inlineStr">
        <is>
          <t>立ち上がりテスト, 2ステップテスト, ロコモ25（質問票）</t>
        </is>
      </c>
      <c r="Z113" s="3" t="inlineStr">
        <is>
          <t>Barthel Index（BI）, FIM</t>
        </is>
      </c>
      <c r="AB113" s="3" t="inlineStr">
        <is>
          <t>HDS-R</t>
        </is>
      </c>
      <c r="AD113" s="3" t="inlineStr">
        <is>
          <t>実施していない</t>
        </is>
      </c>
      <c r="AE113" s="3" t="inlineStr">
        <is>
          <t>職場としての取り組みはないが、担当者の判断で実施することがある</t>
        </is>
      </c>
      <c r="AI113" s="3" t="inlineStr">
        <is>
          <t>下肢筋力強化, バランス練習, 歩行練習, 歩容改善, 起立、着座動作練習, 環境調整, 補助具、装具の適正化, 認知面への介入</t>
        </is>
      </c>
    </row>
    <row r="114" ht="22.5" customHeight="1">
      <c r="A114" s="32" t="n">
        <v>46097.73777706019</v>
      </c>
      <c r="B114" s="3" t="inlineStr">
        <is>
          <t>佐藤　剣心</t>
        </is>
      </c>
      <c r="C114" s="3" t="inlineStr">
        <is>
          <t>三重北医療センターいなべ総合病院</t>
        </is>
      </c>
      <c r="D114" s="3" t="inlineStr">
        <is>
          <t>三重県</t>
        </is>
      </c>
      <c r="E114" s="3" t="inlineStr">
        <is>
          <t>yukie.kanbayashi@miekosei.or.jp</t>
        </is>
      </c>
      <c r="F114" s="3" t="inlineStr">
        <is>
          <t>リハビリテーション科／理学療法士</t>
        </is>
      </c>
      <c r="G114" s="3" t="n">
        <v>96</v>
      </c>
      <c r="H114" s="3" t="n">
        <v>12</v>
      </c>
      <c r="I114" s="3" t="n">
        <v>0</v>
      </c>
      <c r="J114" s="3" t="inlineStr">
        <is>
          <t>届け出をしておらず、検討もしていない</t>
        </is>
      </c>
      <c r="K114" s="3" t="inlineStr">
        <is>
          <t>DVT予防, 自主運動指導</t>
        </is>
      </c>
      <c r="L114" s="3" t="inlineStr">
        <is>
          <t>全症例の75％〜100％程度</t>
        </is>
      </c>
      <c r="N114" s="3" t="inlineStr">
        <is>
          <t>全症例の25％〜49％程度</t>
        </is>
      </c>
      <c r="P114" s="3" t="inlineStr">
        <is>
          <t>全症例の25％〜49％程度</t>
        </is>
      </c>
      <c r="R114" s="3" t="inlineStr">
        <is>
          <t>全症例の0％〜24％程度</t>
        </is>
      </c>
      <c r="T114" s="3" t="inlineStr">
        <is>
          <t>握力, SPPB, 下腿周径</t>
        </is>
      </c>
      <c r="V114" s="3" t="inlineStr">
        <is>
          <t>握力</t>
        </is>
      </c>
      <c r="X114" s="3" t="inlineStr">
        <is>
          <t>実施していない</t>
        </is>
      </c>
      <c r="Z114" s="3" t="inlineStr">
        <is>
          <t>FIM</t>
        </is>
      </c>
      <c r="AB114" s="3" t="inlineStr">
        <is>
          <t>AMTS</t>
        </is>
      </c>
      <c r="AD114" s="3" t="inlineStr">
        <is>
          <t>TUG, SPPB、Functional Reach Test（FRT）</t>
        </is>
      </c>
      <c r="AF114" s="3" t="inlineStr">
        <is>
          <t>わからない</t>
        </is>
      </c>
      <c r="AI114" s="3" t="inlineStr">
        <is>
          <t>下肢筋力強化, バランス練習, 歩行練習, 歩容改善, 起立、着座動作練習, 環境調整, 補助具、装具の適正化</t>
        </is>
      </c>
    </row>
    <row r="115" ht="22.5" customHeight="1">
      <c r="A115" s="32" t="n">
        <v>46097.75166457176</v>
      </c>
      <c r="B115" s="3" t="inlineStr">
        <is>
          <t>村上梓</t>
        </is>
      </c>
      <c r="C115" s="3" t="inlineStr">
        <is>
          <t>奈良県総合医療センター</t>
        </is>
      </c>
      <c r="D115" s="3" t="inlineStr">
        <is>
          <t>奈良県</t>
        </is>
      </c>
      <c r="E115" s="3" t="inlineStr">
        <is>
          <t>m.azusan5414@gmail.com</t>
        </is>
      </c>
      <c r="F115" s="3" t="inlineStr">
        <is>
          <t>リハビリテーション部/理学療法士</t>
        </is>
      </c>
      <c r="G115" s="3" t="n">
        <v>40</v>
      </c>
      <c r="H115" s="3" t="n">
        <v>8</v>
      </c>
      <c r="I115" s="3" t="n">
        <v>7</v>
      </c>
      <c r="J115" s="3" t="inlineStr">
        <is>
          <t>届け出をしておらず、検討もしていない</t>
        </is>
      </c>
      <c r="K115" s="3" t="inlineStr">
        <is>
          <t>実施していない</t>
        </is>
      </c>
      <c r="L115" s="3" t="inlineStr">
        <is>
          <t>全症例の0％〜24％程度</t>
        </is>
      </c>
      <c r="N115" s="3" t="inlineStr">
        <is>
          <t>全症例の0％〜24％程度</t>
        </is>
      </c>
      <c r="P115" s="3" t="inlineStr">
        <is>
          <t>全症例の0％〜24％程度</t>
        </is>
      </c>
      <c r="R115" s="3" t="inlineStr">
        <is>
          <t>全症例の0％〜24％程度</t>
        </is>
      </c>
      <c r="T115" s="3" t="inlineStr">
        <is>
          <t>握力, 膝伸展筋力, 歩行速度, SPPB, TUG</t>
        </is>
      </c>
      <c r="V115" s="3" t="inlineStr">
        <is>
          <t>J-CHS基準, 認知機能</t>
        </is>
      </c>
      <c r="X115" s="3" t="inlineStr">
        <is>
          <t>立ち上がりテスト</t>
        </is>
      </c>
      <c r="Z115" s="3" t="inlineStr">
        <is>
          <t>Barthel Index（BI）, FIM</t>
        </is>
      </c>
      <c r="AB115" s="3" t="inlineStr">
        <is>
          <t>MMSE, MoCA</t>
        </is>
      </c>
      <c r="AD115" s="3" t="inlineStr">
        <is>
          <t>定量的な下肢筋力測定, TUG, 10m歩行速度, Berg Balance Scale（BBS）, SPPB、Functional Reach Test（FRT）</t>
        </is>
      </c>
      <c r="AF115" s="3" t="inlineStr">
        <is>
          <t>決まっていない</t>
        </is>
      </c>
      <c r="AH115" s="3" t="inlineStr">
        <is>
          <t>患者さんそれぞれの離床具合で検査時期をそれぞれの療法士が判断し検査を実施している</t>
        </is>
      </c>
      <c r="AI115" s="3" t="inlineStr">
        <is>
          <t>下肢筋力強化, バランス練習, 歩行練習, 歩容改善, 起立、着座動作練習, 環境調整, 補助具、装具の適正化, 認知面への介入, 行動面への介入, 教育、指導</t>
        </is>
      </c>
    </row>
    <row r="116" ht="22.5" customHeight="1">
      <c r="A116" s="32" t="n">
        <v>46097.78779788195</v>
      </c>
      <c r="B116" s="3" t="inlineStr">
        <is>
          <t>市加　裕弥</t>
        </is>
      </c>
      <c r="C116" s="3" t="inlineStr">
        <is>
          <t>マツダ株式会社　マツダ病院</t>
        </is>
      </c>
      <c r="D116" s="3" t="inlineStr">
        <is>
          <t>広島県</t>
        </is>
      </c>
      <c r="E116" s="3" t="inlineStr">
        <is>
          <t>ichika.y@mazda.co.jp</t>
        </is>
      </c>
      <c r="F116" s="3" t="inlineStr">
        <is>
          <t>リハビリテーション科／理学療法士</t>
        </is>
      </c>
      <c r="G116" s="3" t="n">
        <v>138</v>
      </c>
      <c r="H116" s="3" t="n">
        <v>18</v>
      </c>
      <c r="I116" s="3" t="n">
        <v>7</v>
      </c>
      <c r="J116" s="3" t="inlineStr">
        <is>
          <t>届け出はしていないが、現在検討中である</t>
        </is>
      </c>
      <c r="K116" s="3" t="inlineStr">
        <is>
          <t>実施していない</t>
        </is>
      </c>
      <c r="L116" s="3" t="inlineStr">
        <is>
          <t>全症例の50％〜74％程度</t>
        </is>
      </c>
      <c r="M116" s="3" t="inlineStr">
        <is>
          <t>周術期対応チームと他職種連携した疼痛コントロール</t>
        </is>
      </c>
      <c r="N116" s="3" t="inlineStr">
        <is>
          <t>全症例の0％〜24％程度</t>
        </is>
      </c>
      <c r="P116" s="3" t="inlineStr">
        <is>
          <t>全症例の0％〜24％程度</t>
        </is>
      </c>
      <c r="R116" s="3" t="inlineStr">
        <is>
          <t>全症例の0％〜24％程度</t>
        </is>
      </c>
      <c r="T116" s="3" t="inlineStr">
        <is>
          <t>握力, TUG, 開眼片脚立位時間, 骨格筋量指数（SMI）, 四肢骨格筋量（ASM）</t>
        </is>
      </c>
      <c r="V116" s="3" t="inlineStr">
        <is>
          <t>TUG, 握力</t>
        </is>
      </c>
      <c r="X116" s="3" t="inlineStr">
        <is>
          <t>実施していない</t>
        </is>
      </c>
      <c r="Y116" s="3" t="inlineStr">
        <is>
          <t>マンパワー不足</t>
        </is>
      </c>
      <c r="Z116" s="3" t="inlineStr">
        <is>
          <t>Barthel Index（BI）, FIM</t>
        </is>
      </c>
      <c r="AB116" s="3" t="inlineStr">
        <is>
          <t>MMSE, HDS-R, AMTS</t>
        </is>
      </c>
      <c r="AD116" s="3" t="inlineStr">
        <is>
          <t>定量的な下肢筋力測定, 開眼片脚立位時間, TUG, 5回椅子立ち上がりテスト, 認知機能, 注意障害, せん妄, 過去の転倒歴, 既往疾患の有無（脳血管疾患、パーキンソン病など）, 薬剤（向精神薬、降圧薬、利尿薬、ポリファーマシーなど）, ベッド周囲および病室環境</t>
        </is>
      </c>
      <c r="AF116" s="3" t="inlineStr">
        <is>
          <t>決まっている</t>
        </is>
      </c>
      <c r="AG116" s="3" t="inlineStr">
        <is>
          <t>1年ごと</t>
        </is>
      </c>
      <c r="AI116" s="3" t="inlineStr">
        <is>
          <t>下肢筋力強化, バランス練習, 歩行練習, 歩容改善, 起立、着座動作練習, 環境調整, 補助具、装具の適正化, 認知面への介入, 薬剤調整, 教育、指導</t>
        </is>
      </c>
    </row>
    <row r="117" ht="22.5" customHeight="1">
      <c r="A117" s="32" t="n">
        <v>46097.87120376158</v>
      </c>
      <c r="B117" s="3" t="inlineStr">
        <is>
          <t>青木　寛幸</t>
        </is>
      </c>
      <c r="C117" s="3" t="inlineStr">
        <is>
          <t>JCHO船橋中央病院</t>
        </is>
      </c>
      <c r="D117" s="3" t="inlineStr">
        <is>
          <t>千葉県</t>
        </is>
      </c>
      <c r="E117" s="3" t="inlineStr">
        <is>
          <t>aoki-hiroyuki@funabashi.jcho.go.jp</t>
        </is>
      </c>
      <c r="F117" s="3" t="inlineStr">
        <is>
          <t>リハビリテーション科診療部／理学療法士</t>
        </is>
      </c>
      <c r="G117" s="3" t="n">
        <v>116</v>
      </c>
      <c r="H117" s="3" t="n">
        <v>7</v>
      </c>
      <c r="I117" s="3" t="n">
        <v>1</v>
      </c>
      <c r="J117" s="3" t="inlineStr">
        <is>
          <t>届け出をしておらず、検討もしていない</t>
        </is>
      </c>
      <c r="K117" s="3" t="inlineStr">
        <is>
          <t>関節可動域運動, 術後リハビリテーションのオリエンテーション</t>
        </is>
      </c>
      <c r="L117" s="3" t="inlineStr">
        <is>
          <t>全症例の75％〜100％程度</t>
        </is>
      </c>
      <c r="M117" s="3" t="inlineStr">
        <is>
          <t>早期離床（医師の指示受け後、早期に車いすへ移乗）</t>
        </is>
      </c>
      <c r="N117" s="3" t="inlineStr">
        <is>
          <t>全症例の25％〜49％程度</t>
        </is>
      </c>
      <c r="P117" s="3" t="inlineStr">
        <is>
          <t>全症例の0％〜24％程度</t>
        </is>
      </c>
      <c r="R117" s="3" t="inlineStr">
        <is>
          <t>全症例の0％〜24％程度</t>
        </is>
      </c>
      <c r="T117" s="3" t="inlineStr">
        <is>
          <t>実施していない</t>
        </is>
      </c>
      <c r="U117" s="3" t="inlineStr">
        <is>
          <t>サルコペニアの評価としては行っていない</t>
        </is>
      </c>
      <c r="V117" s="3" t="inlineStr">
        <is>
          <t>実施していない</t>
        </is>
      </c>
      <c r="W117" s="3" t="inlineStr">
        <is>
          <t>フレイルの評価としては行っていない</t>
        </is>
      </c>
      <c r="X117" s="3" t="inlineStr">
        <is>
          <t>実施していない</t>
        </is>
      </c>
      <c r="Y117" s="3" t="inlineStr">
        <is>
          <t>術後（特に術直後）の患者は転倒リスクが非常に高いため、実施していない</t>
        </is>
      </c>
      <c r="Z117" s="3" t="inlineStr">
        <is>
          <t>Barthel Index（BI）, FIM</t>
        </is>
      </c>
      <c r="AB117" s="3" t="inlineStr">
        <is>
          <t>HDS-R</t>
        </is>
      </c>
      <c r="AD117" s="3" t="inlineStr">
        <is>
          <t>開眼片脚立位時間, 10m歩行速度, 既往疾患の有無（脳血管疾患、パーキンソン病など）</t>
        </is>
      </c>
      <c r="AF117" s="3" t="inlineStr">
        <is>
          <t>決まっている</t>
        </is>
      </c>
      <c r="AG117" s="3" t="inlineStr">
        <is>
          <t>術後７日目</t>
        </is>
      </c>
      <c r="AI117" s="3" t="inlineStr">
        <is>
          <t>下肢筋力強化, バランス練習, 歩行練習, 歩容改善, 起立、着座動作練習, 環境調整, 補助具、装具の適正化, 教育、指導</t>
        </is>
      </c>
    </row>
    <row r="118" ht="22.5" customHeight="1">
      <c r="A118" s="32" t="n">
        <v>46098.34510144676</v>
      </c>
      <c r="B118" s="3" t="inlineStr">
        <is>
          <t>加藤木　丈英</t>
        </is>
      </c>
      <c r="C118" s="3" t="inlineStr">
        <is>
          <t>聖隷佐倉市民病院</t>
        </is>
      </c>
      <c r="D118" s="3" t="inlineStr">
        <is>
          <t>千葉県</t>
        </is>
      </c>
      <c r="E118" s="3" t="inlineStr">
        <is>
          <t>t.enjoyfootball.k@gmail.com</t>
        </is>
      </c>
      <c r="F118" s="3" t="inlineStr">
        <is>
          <t>リハビリテーション室／理学療法士</t>
        </is>
      </c>
      <c r="G118" s="3" t="n">
        <v>216</v>
      </c>
      <c r="H118" s="3" t="n">
        <v>11</v>
      </c>
      <c r="I118" s="3" t="n">
        <v>2</v>
      </c>
      <c r="J118" s="3" t="inlineStr">
        <is>
          <t>届け出はしていないが、現在検討中である</t>
        </is>
      </c>
      <c r="K118" s="3" t="inlineStr">
        <is>
          <t>実施していない</t>
        </is>
      </c>
      <c r="L118" s="3" t="inlineStr">
        <is>
          <t>全症例の0％〜24％程度</t>
        </is>
      </c>
      <c r="N118" s="3" t="inlineStr">
        <is>
          <t>全症例の0％〜24％程度</t>
        </is>
      </c>
      <c r="P118" s="3" t="inlineStr">
        <is>
          <t>全症例の0％〜24％程度</t>
        </is>
      </c>
      <c r="R118" s="3" t="inlineStr">
        <is>
          <t>全症例の0％〜24％程度</t>
        </is>
      </c>
      <c r="T118" s="3" t="inlineStr">
        <is>
          <t>握力, SPPB, TUG, GNRI</t>
        </is>
      </c>
      <c r="V118" s="3" t="inlineStr">
        <is>
          <t>TUG, 認知機能, GNRI, 握力</t>
        </is>
      </c>
      <c r="X118" s="3" t="inlineStr">
        <is>
          <t>立ち上がりテスト</t>
        </is>
      </c>
      <c r="Z118" s="3" t="inlineStr">
        <is>
          <t>Barthel Index（BI）</t>
        </is>
      </c>
      <c r="AB118" s="3" t="inlineStr">
        <is>
          <t>MMSE, HDS-R</t>
        </is>
      </c>
      <c r="AD118" s="3" t="inlineStr">
        <is>
          <t>開眼片脚立位時間, TUG, SPPB、Functional Reach Test（FRT）, 過去の転倒歴, ベッド周囲および病室環境</t>
        </is>
      </c>
      <c r="AF118" s="3" t="inlineStr">
        <is>
          <t>決まっていない</t>
        </is>
      </c>
      <c r="AH118" s="3" t="inlineStr">
        <is>
          <t>患者の個別性が高いため。</t>
        </is>
      </c>
      <c r="AI118" s="3" t="inlineStr">
        <is>
          <t>下肢筋力強化, バランス練習, 歩行練習, 環境調整, 補助具、装具の適正化, 認知面への介入, 教育、指導</t>
        </is>
      </c>
    </row>
    <row r="119" ht="22.5" customHeight="1">
      <c r="A119" s="32" t="n">
        <v>46098.3720946875</v>
      </c>
      <c r="B119" s="3" t="inlineStr">
        <is>
          <t>石川　達也</t>
        </is>
      </c>
      <c r="C119" s="3" t="inlineStr">
        <is>
          <t>医療法人賀新会　プライムホスピタル玉島</t>
        </is>
      </c>
      <c r="D119" s="3" t="inlineStr">
        <is>
          <t>岡山県</t>
        </is>
      </c>
      <c r="E119" s="3" t="inlineStr">
        <is>
          <t>rehabilitation.h@primehospital.or.jp</t>
        </is>
      </c>
      <c r="F119" s="3" t="inlineStr">
        <is>
          <t>リハビリテーション課/理学療法士</t>
        </is>
      </c>
      <c r="G119" s="3" t="n">
        <v>126</v>
      </c>
      <c r="H119" s="3" t="n">
        <v>12</v>
      </c>
      <c r="I119" s="3" t="n">
        <v>3</v>
      </c>
      <c r="J119" s="3" t="inlineStr">
        <is>
          <t>届け出はしていないが、現在検討中である</t>
        </is>
      </c>
      <c r="K119" s="3" t="inlineStr">
        <is>
          <t>関節可動域運動, 筋力増強運動, 呼吸リハビリテーション, DVT予防, リラクセーション, ポジショニング, 自主運動指導, 術後リハビリテーションのオリエンテーション</t>
        </is>
      </c>
      <c r="L119" s="3" t="inlineStr">
        <is>
          <t>全症例の75％〜100％程度</t>
        </is>
      </c>
      <c r="M119" s="3" t="inlineStr">
        <is>
          <t>高齢者が多い為、翌日は端坐位までの安静度が多い</t>
        </is>
      </c>
      <c r="N119" s="3" t="inlineStr">
        <is>
          <t>全症例の0％〜24％程度</t>
        </is>
      </c>
      <c r="P119" s="3" t="inlineStr">
        <is>
          <t>全症例の25％〜49％程度</t>
        </is>
      </c>
      <c r="R119" s="3" t="inlineStr">
        <is>
          <t>全症例の0％〜24％程度</t>
        </is>
      </c>
      <c r="T119" s="3" t="inlineStr">
        <is>
          <t>握力, 膝伸展筋力, 歩行速度, SPPB, TUG, 6分間歩行距離, 開眼片脚立位時間, 骨格筋量指数（SMI）, 四肢骨格筋量（ASM）</t>
        </is>
      </c>
      <c r="V119" s="3" t="inlineStr">
        <is>
          <t>TUG, 握力</t>
        </is>
      </c>
      <c r="X119" s="3" t="inlineStr">
        <is>
          <t>立ち上がりテスト, 2ステップテスト</t>
        </is>
      </c>
      <c r="Z119" s="3" t="inlineStr">
        <is>
          <t>Barthel Index（BI）, FIM</t>
        </is>
      </c>
      <c r="AB119" s="3" t="inlineStr">
        <is>
          <t>MMSE, HDS-R</t>
        </is>
      </c>
      <c r="AD119" s="3" t="inlineStr">
        <is>
          <t>定量的な下肢筋力測定, 開眼片脚立位時間, TUG, SPPB、Functional Reach Test（FRT）, 認知機能, せん妄, 過去の転倒歴, 既往疾患の有無（脳血管疾患、パーキンソン病など）, ベッド周囲および病室環境</t>
        </is>
      </c>
      <c r="AF119" s="3" t="inlineStr">
        <is>
          <t>決まっていない</t>
        </is>
      </c>
      <c r="AH119" s="3" t="inlineStr">
        <is>
          <t>循環動態不良の患者さんも多いため</t>
        </is>
      </c>
      <c r="AI119" s="3" t="inlineStr">
        <is>
          <t>下肢筋力強化, バランス練習, 歩行練習, 歩容改善, 起立、着座動作練習, 環境調整, 補助具、装具の適正化, 認知面への介入, 行動面への介入, 教育、指導</t>
        </is>
      </c>
    </row>
    <row r="120" ht="22.5" customHeight="1">
      <c r="A120" s="32" t="n">
        <v>46098.38456456018</v>
      </c>
      <c r="B120" s="3" t="inlineStr">
        <is>
          <t>瀬川　光汰</t>
        </is>
      </c>
      <c r="C120" s="3" t="inlineStr">
        <is>
          <t>医療法人社団　明芳会　横浜旭中央総合病院</t>
        </is>
      </c>
      <c r="D120" s="3" t="inlineStr">
        <is>
          <t>神奈川県</t>
        </is>
      </c>
      <c r="E120" s="3" t="inlineStr">
        <is>
          <t>asachureha@yahoo.co.jp</t>
        </is>
      </c>
      <c r="F120" s="3" t="inlineStr">
        <is>
          <t>リハビリテーションセンター/理学療法士</t>
        </is>
      </c>
      <c r="G120" s="3" t="n">
        <v>296</v>
      </c>
      <c r="H120" s="3" t="n">
        <v>49</v>
      </c>
      <c r="I120" s="3" t="n">
        <v>20</v>
      </c>
      <c r="J120" s="3" t="inlineStr">
        <is>
          <t>現在、算定している</t>
        </is>
      </c>
      <c r="K120" s="3" t="inlineStr">
        <is>
          <t>関節可動域運動, 筋力増強運動, DVT予防, リラクセーション, ポジショニング, 自主運動指導, 術後リハビリテーションのオリエンテーション</t>
        </is>
      </c>
      <c r="L120" s="3" t="inlineStr">
        <is>
          <t>全症例の50％〜74％程度</t>
        </is>
      </c>
      <c r="M120" s="3" t="inlineStr">
        <is>
          <t>除痛に向け訓練実施。</t>
        </is>
      </c>
      <c r="N120" s="3" t="inlineStr">
        <is>
          <t>全症例の0％〜24％程度</t>
        </is>
      </c>
      <c r="P120" s="3" t="inlineStr">
        <is>
          <t>全症例の0％〜24％程度</t>
        </is>
      </c>
      <c r="R120" s="3" t="inlineStr">
        <is>
          <t>全症例の0％〜24％程度</t>
        </is>
      </c>
      <c r="T120" s="3" t="inlineStr">
        <is>
          <t>TUG, 下腿周径</t>
        </is>
      </c>
      <c r="V120" s="3" t="inlineStr">
        <is>
          <t>TUG, 認知機能</t>
        </is>
      </c>
      <c r="X120" s="3" t="inlineStr">
        <is>
          <t>実施していない</t>
        </is>
      </c>
      <c r="Y120" s="3" t="inlineStr">
        <is>
          <t>必要性がないため</t>
        </is>
      </c>
      <c r="Z120" s="3" t="inlineStr">
        <is>
          <t>Barthel Index（BI）, FIM</t>
        </is>
      </c>
      <c r="AB120" s="3" t="inlineStr">
        <is>
          <t>MMSE, HDS-R</t>
        </is>
      </c>
      <c r="AD120" s="3" t="inlineStr">
        <is>
          <t>TUG, 10m歩行速度, Berg Balance Scale（BBS）, 認知機能, 注意障害, 遂行機能, せん妄, 転倒恐怖感, 過去の転倒歴, 既往疾患の有無（脳血管疾患、パーキンソン病など）, 薬剤（向精神薬、降圧薬、利尿薬、ポリファーマシーなど）</t>
        </is>
      </c>
      <c r="AF120" s="3" t="inlineStr">
        <is>
          <t>決まっていない</t>
        </is>
      </c>
      <c r="AH120" s="3" t="inlineStr">
        <is>
          <t>対象者によってことなるため定義できていない</t>
        </is>
      </c>
      <c r="AI120" s="3" t="inlineStr">
        <is>
          <t>下肢筋力強化, バランス練習, 歩行練習, 歩容改善, 起立、着座動作練習, 環境調整, 補助具、装具の適正化, 認知面への介入, 行動面への介入, 教育、指導</t>
        </is>
      </c>
    </row>
    <row r="121" ht="22.5" customHeight="1">
      <c r="A121" s="32" t="n">
        <v>46098.40914797454</v>
      </c>
      <c r="B121" s="3" t="inlineStr">
        <is>
          <t>山田浩二</t>
        </is>
      </c>
      <c r="C121" s="3" t="inlineStr">
        <is>
          <t>社会福祉法人恩賜財団済生会熊本病院</t>
        </is>
      </c>
      <c r="D121" s="3" t="inlineStr">
        <is>
          <t>熊本県</t>
        </is>
      </c>
      <c r="E121" s="3" t="inlineStr">
        <is>
          <t>kouji-yamada@saiseikaikumamoto.jp</t>
        </is>
      </c>
      <c r="F121" s="3" t="inlineStr">
        <is>
          <t>リハビリテーション部/理学療法士</t>
        </is>
      </c>
      <c r="G121" s="3" t="n">
        <v>407</v>
      </c>
      <c r="H121" s="3" t="n">
        <v>22</v>
      </c>
      <c r="I121" s="3" t="n">
        <v>8</v>
      </c>
      <c r="J121" s="3" t="inlineStr">
        <is>
          <t>届け出はしていないが、現在検討中である</t>
        </is>
      </c>
      <c r="K121" s="3" t="inlineStr">
        <is>
          <t>関節可動域運動, 筋力増強運動, 呼吸リハビリテーション, DVT予防, リラクセーション, ポジショニング, 自主運動指導, 術後リハビリテーションのオリエンテーション, 離床（例：車椅子移乗,立位,歩行など）</t>
        </is>
      </c>
      <c r="L121" s="3" t="inlineStr">
        <is>
          <t>全症例の0％〜24％程度</t>
        </is>
      </c>
      <c r="N121" s="3" t="inlineStr">
        <is>
          <t>全症例の0％〜24％程度</t>
        </is>
      </c>
      <c r="P121" s="3" t="inlineStr">
        <is>
          <t>全症例の0％〜24％程度</t>
        </is>
      </c>
      <c r="R121" s="3" t="inlineStr">
        <is>
          <t>全症例の0％〜24％程度</t>
        </is>
      </c>
      <c r="T121" s="3" t="inlineStr">
        <is>
          <t>握力</t>
        </is>
      </c>
      <c r="V121" s="3" t="inlineStr">
        <is>
          <t>TUG, 握力, Clinical Frailty Scale、障害高齢者の日常生活自立度、Berg Balance Scale</t>
        </is>
      </c>
      <c r="X121" s="3" t="inlineStr">
        <is>
          <t>実施していない</t>
        </is>
      </c>
      <c r="Z121" s="3" t="inlineStr">
        <is>
          <t>Barthel Index（BI）, FIM</t>
        </is>
      </c>
      <c r="AB121" s="3" t="inlineStr">
        <is>
          <t>MMSE, HDS-R, MoCA, 4AT-J</t>
        </is>
      </c>
      <c r="AD121" s="3" t="inlineStr">
        <is>
          <t>TUG, Berg Balance Scale（BBS）, 認知機能, せん妄, 過去の転倒歴, 既往疾患の有無（脳血管疾患、パーキンソン病など）, 薬剤（向精神薬、降圧薬、利尿薬、ポリファーマシーなど）, ベッド周囲および病室環境</t>
        </is>
      </c>
      <c r="AF121" s="3" t="inlineStr">
        <is>
          <t>決まっていない</t>
        </is>
      </c>
      <c r="AH121" s="3" t="inlineStr">
        <is>
          <t>10m以上の歩行が可能で日常の病棟内移動が歩行車以上で自立 or スタッフ監視レベルに到達した患者のみを対象としているため（急性期病院のため多くの患者は基準到達前に転院）</t>
        </is>
      </c>
      <c r="AI121" s="3" t="inlineStr">
        <is>
          <t>下肢筋力強化, バランス練習, 歩行練習, 歩容改善, 起立、着座動作練習, 環境調整, 補助具、装具の適正化, 認知面への介入, 行動面への介入, 教育、指導</t>
        </is>
      </c>
    </row>
    <row r="122" ht="22.5" customHeight="1">
      <c r="A122" s="32" t="n">
        <v>46098.42543611111</v>
      </c>
      <c r="B122" s="3" t="inlineStr">
        <is>
          <t>勝野涼子</t>
        </is>
      </c>
      <c r="C122" s="3" t="inlineStr">
        <is>
          <t>徳島健生病院</t>
        </is>
      </c>
      <c r="D122" s="3" t="inlineStr">
        <is>
          <t>徳島県</t>
        </is>
      </c>
      <c r="E122" s="3" t="inlineStr">
        <is>
          <t>riha@kenkou-seikyou.com</t>
        </is>
      </c>
      <c r="F122" s="3" t="inlineStr">
        <is>
          <t>リハビリテーション科/理学療法士</t>
        </is>
      </c>
      <c r="G122" s="3" t="n">
        <v>87</v>
      </c>
      <c r="H122" s="3" t="n">
        <v>22</v>
      </c>
      <c r="I122" s="3" t="n">
        <v>14</v>
      </c>
      <c r="J122" s="3" t="inlineStr">
        <is>
          <t>届け出はしていないが、現在検討中である</t>
        </is>
      </c>
      <c r="K122" s="3" t="inlineStr">
        <is>
          <t>関節可動域運動, 筋力増強運動, DVT予防, リラクセーション, ポジショニング, 自主運動指導, 術後リハビリテーションのオリエンテーション</t>
        </is>
      </c>
      <c r="L122" s="3" t="inlineStr">
        <is>
          <t>全症例の0％〜24％程度</t>
        </is>
      </c>
      <c r="N122" s="3" t="inlineStr">
        <is>
          <t>全症例の0％〜24％程度</t>
        </is>
      </c>
      <c r="P122" s="3" t="inlineStr">
        <is>
          <t>全症例の0％〜24％程度</t>
        </is>
      </c>
      <c r="R122" s="3" t="inlineStr">
        <is>
          <t>全症例の0％〜24％程度</t>
        </is>
      </c>
      <c r="T122" s="3" t="inlineStr">
        <is>
          <t>握力, 膝伸展筋力, 5回椅子立ち上がりテスト, 歩行速度, SPPB, TUG, 6分間歩行距離, 開眼片脚立位時間, 骨格筋量指数（SMI）, 四肢骨格筋量（ASM）, 下腿周径</t>
        </is>
      </c>
      <c r="V122" s="3" t="inlineStr">
        <is>
          <t>TUG, 6分間歩行距離, 認知機能, 握力</t>
        </is>
      </c>
      <c r="X122" s="3" t="inlineStr">
        <is>
          <t>実施していない</t>
        </is>
      </c>
      <c r="Y122" s="3" t="inlineStr">
        <is>
          <t>他の評価を実施しているため</t>
        </is>
      </c>
      <c r="Z122" s="3" t="inlineStr">
        <is>
          <t>Barthel Index（BI）, FIM</t>
        </is>
      </c>
      <c r="AB122" s="3" t="inlineStr">
        <is>
          <t>MMSE, HDS-R</t>
        </is>
      </c>
      <c r="AD122" s="3" t="inlineStr">
        <is>
          <t>定量的な下肢筋力測定, 開眼片脚立位時間, TUG, 10m歩行速度, 5回椅子立ち上がりテスト, 深部感覚評価, 認知機能, 注意障害, 遂行機能, 過去の転倒歴, 既往疾患の有無（脳血管疾患、パーキンソン病など）, 薬剤（向精神薬、降圧薬、利尿薬、ポリファーマシーなど）, ベッド周囲および病室環境, Fall Risk Index</t>
        </is>
      </c>
      <c r="AF122" s="3" t="inlineStr">
        <is>
          <t>決まっている</t>
        </is>
      </c>
      <c r="AG122" s="3" t="inlineStr">
        <is>
          <t>１週間以内</t>
        </is>
      </c>
      <c r="AI122" s="3" t="inlineStr">
        <is>
          <t>下肢筋力強化, バランス練習, 歩行練習, 歩容改善, 起立、着座動作練習, 環境調整, 補助具、装具の適正化, 認知面への介入, 行動面への介入, 教育、指導</t>
        </is>
      </c>
    </row>
    <row r="123" ht="22.5" customHeight="1">
      <c r="A123" s="32" t="n">
        <v>46098.42639269676</v>
      </c>
      <c r="B123" s="3" t="inlineStr">
        <is>
          <t>三戸部浩之</t>
        </is>
      </c>
      <c r="C123" s="3" t="inlineStr">
        <is>
          <t>社会医療法人　山弘会　上山病院</t>
        </is>
      </c>
      <c r="D123" s="3" t="inlineStr">
        <is>
          <t>大阪府</t>
        </is>
      </c>
      <c r="E123" s="3" t="inlineStr">
        <is>
          <t>reha@sanko-kai.jp</t>
        </is>
      </c>
      <c r="F123" s="3" t="inlineStr">
        <is>
          <t>リハビリテーション科/理学療法士</t>
        </is>
      </c>
      <c r="G123" s="3" t="n">
        <v>111</v>
      </c>
      <c r="H123" s="3" t="n">
        <v>37</v>
      </c>
      <c r="I123" s="3" t="n">
        <v>6</v>
      </c>
      <c r="J123" s="3" t="inlineStr">
        <is>
          <t>届け出はしていないが、現在検討中である</t>
        </is>
      </c>
      <c r="K123" s="3" t="inlineStr">
        <is>
          <t>関節可動域運動, 筋力増強運動, 呼吸リハビリテーション, DVT予防, ポジショニング, 自主運動指導, 術後リハビリテーションのオリエンテーション</t>
        </is>
      </c>
      <c r="L123" s="3" t="inlineStr">
        <is>
          <t>全症例の0％〜24％程度</t>
        </is>
      </c>
      <c r="N123" s="3" t="inlineStr">
        <is>
          <t>全症例の0％〜24％程度</t>
        </is>
      </c>
      <c r="P123" s="3" t="inlineStr">
        <is>
          <t>全症例の0％〜24％程度</t>
        </is>
      </c>
      <c r="R123" s="3" t="inlineStr">
        <is>
          <t>全症例の0％〜24％程度</t>
        </is>
      </c>
      <c r="T123" s="3" t="inlineStr">
        <is>
          <t>TUG, 6分間歩行距離, 下腿周径</t>
        </is>
      </c>
      <c r="V123" s="3" t="inlineStr">
        <is>
          <t>TUG, 6分間歩行距離, 認知機能</t>
        </is>
      </c>
      <c r="X123" s="3" t="inlineStr">
        <is>
          <t>実施していない</t>
        </is>
      </c>
      <c r="Y123" s="3" t="inlineStr">
        <is>
          <t>ロコモ単体としての評価は実施していないため</t>
        </is>
      </c>
      <c r="Z123" s="3" t="inlineStr">
        <is>
          <t>Barthel Index（BI）, FIM</t>
        </is>
      </c>
      <c r="AB123" s="3" t="inlineStr">
        <is>
          <t>MMSE, HDS-R, MoCA, AMTS</t>
        </is>
      </c>
      <c r="AD123" s="3" t="inlineStr">
        <is>
          <t>認知機能</t>
        </is>
      </c>
      <c r="AF123" s="3" t="inlineStr">
        <is>
          <t>決まっている</t>
        </is>
      </c>
      <c r="AG123" s="3" t="inlineStr">
        <is>
          <t>可能であれば初日</t>
        </is>
      </c>
      <c r="AI123" s="3" t="inlineStr">
        <is>
          <t>下肢筋力強化, バランス練習, 歩行練習, 歩容改善, 起立、着座動作練習, 環境調整, 補助具、装具の適正化, 認知面への介入, 行動面への介入, 教育、指導</t>
        </is>
      </c>
    </row>
    <row r="124" ht="22.5" customHeight="1">
      <c r="A124" s="32" t="n">
        <v>46098.43155435185</v>
      </c>
      <c r="B124" s="3" t="inlineStr">
        <is>
          <t>小原来夢</t>
        </is>
      </c>
      <c r="C124" s="3" t="inlineStr">
        <is>
          <t>医療法人社団淳英会おゆみの中央病院</t>
        </is>
      </c>
      <c r="D124" s="3" t="inlineStr">
        <is>
          <t>千葉県</t>
        </is>
      </c>
      <c r="E124" s="3" t="inlineStr">
        <is>
          <t>kohara-raimu@juneikai.or.jp</t>
        </is>
      </c>
      <c r="F124" s="3" t="inlineStr">
        <is>
          <t>リハビリテーション部/理学療法士</t>
        </is>
      </c>
      <c r="G124" s="3" t="n">
        <v>103</v>
      </c>
      <c r="H124" s="3" t="n">
        <v>14</v>
      </c>
      <c r="I124" s="3" t="n">
        <v>0</v>
      </c>
      <c r="J124" s="3" t="inlineStr">
        <is>
          <t>届け出はしていないが、現在検討中である</t>
        </is>
      </c>
      <c r="K124" s="3" t="inlineStr">
        <is>
          <t>関節可動域運動, 筋力増強運動, 呼吸リハビリテーション, DVT予防, リラクセーション, ポジショニング, 自主運動指導, 術後リハビリテーションのオリエンテーション, 離床（例：車椅子移乗,立位,歩行など）</t>
        </is>
      </c>
      <c r="L124" s="3" t="inlineStr">
        <is>
          <t>全症例の25％〜49％程度</t>
        </is>
      </c>
      <c r="N124" s="3" t="inlineStr">
        <is>
          <t>全症例の25％〜49％程度</t>
        </is>
      </c>
      <c r="P124" s="3" t="inlineStr">
        <is>
          <t>全症例の0％〜24％程度</t>
        </is>
      </c>
      <c r="R124" s="3" t="inlineStr">
        <is>
          <t>全症例の0％〜24％程度</t>
        </is>
      </c>
      <c r="T124" s="3" t="inlineStr">
        <is>
          <t>実施していない, サルコペニアの評価としては実施していない</t>
        </is>
      </c>
      <c r="U124" s="3" t="inlineStr">
        <is>
          <t>サルコペニアに対する治療・評価の体制が整っていない。</t>
        </is>
      </c>
      <c r="V124" s="3" t="inlineStr">
        <is>
          <t>実施していない, フレイルの評価としては実施していない</t>
        </is>
      </c>
      <c r="W124" s="3" t="inlineStr">
        <is>
          <t>フレイルに対する治療・評価の体制が整っていない。</t>
        </is>
      </c>
      <c r="X124" s="3" t="inlineStr">
        <is>
          <t>実施していない, ロコモの評価としては実施していない。</t>
        </is>
      </c>
      <c r="Y124" s="3" t="inlineStr">
        <is>
          <t>ロコモティブシンドロームに対する治療・評価の体制が整っていない。</t>
        </is>
      </c>
      <c r="Z124" s="3" t="inlineStr">
        <is>
          <t>Barthel Index（BI）, FIM</t>
        </is>
      </c>
      <c r="AB124" s="3" t="inlineStr">
        <is>
          <t>MMSE, AMTS</t>
        </is>
      </c>
      <c r="AD124" s="3" t="inlineStr">
        <is>
          <t>Berg Balance Scale（BBS）, SPPB、Functional Reach Test（FRT）, 認知機能</t>
        </is>
      </c>
      <c r="AF124" s="3" t="inlineStr">
        <is>
          <t>決まっている</t>
        </is>
      </c>
      <c r="AG124" s="3" t="inlineStr">
        <is>
          <t>認知機能は原則術前。
バランス評価項目は、安全管理（トイレ歩行などの移動手段）を変更する際の評価として実施している。</t>
        </is>
      </c>
      <c r="AI124" s="3" t="inlineStr">
        <is>
          <t>下肢筋力強化, バランス練習, 歩行練習, 歩容改善, 起立、着座動作練習, 環境調整, 補助具、装具の適正化, 教育、指導</t>
        </is>
      </c>
    </row>
    <row r="125" ht="22.5" customHeight="1">
      <c r="A125" s="32" t="n">
        <v>46098.44636145834</v>
      </c>
      <c r="B125" s="3" t="inlineStr">
        <is>
          <t>大竹 七佳</t>
        </is>
      </c>
      <c r="C125" s="3" t="inlineStr">
        <is>
          <t>医療法人社団 慶泉会 町田慶泉病院</t>
        </is>
      </c>
      <c r="D125" s="3" t="inlineStr">
        <is>
          <t>東京都</t>
        </is>
      </c>
      <c r="E125" s="3" t="inlineStr">
        <is>
          <t>otk.keisen@gmail.com</t>
        </is>
      </c>
      <c r="F125" s="3" t="inlineStr">
        <is>
          <t>リハビリテーション部/理学療法士</t>
        </is>
      </c>
      <c r="G125" s="3" t="n">
        <v>124</v>
      </c>
      <c r="H125" s="3" t="n">
        <v>33</v>
      </c>
      <c r="I125" s="3" t="n">
        <v>9</v>
      </c>
      <c r="J125" s="3" t="inlineStr">
        <is>
          <t>現在、算定している</t>
        </is>
      </c>
      <c r="K125" s="3" t="inlineStr">
        <is>
          <t>関節可動域運動, 筋力増強運動, DVT予防, リラクセーション, ポジショニング, 自主運動指導, 術後リハビリテーションのオリエンテーション</t>
        </is>
      </c>
      <c r="L125" s="3" t="inlineStr">
        <is>
          <t>全症例の0％〜24％程度</t>
        </is>
      </c>
      <c r="N125" s="3" t="inlineStr">
        <is>
          <t>全症例の0％〜24％程度</t>
        </is>
      </c>
      <c r="P125" s="3" t="inlineStr">
        <is>
          <t>全症例の0％〜24％程度</t>
        </is>
      </c>
      <c r="R125" s="3" t="inlineStr">
        <is>
          <t>全症例の0％〜24％程度</t>
        </is>
      </c>
      <c r="T125" s="3" t="inlineStr">
        <is>
          <t>握力, 膝伸展筋力, 歩行速度, TUG, 6分間歩行距離, 開眼片脚立位時間, 下腿周径</t>
        </is>
      </c>
      <c r="V125" s="3" t="inlineStr">
        <is>
          <t>TUG, 6分間歩行距離, 認知機能, 抑うつや意欲低下, 握力</t>
        </is>
      </c>
      <c r="X125" s="3" t="inlineStr">
        <is>
          <t>実施していない</t>
        </is>
      </c>
      <c r="Y125" s="3" t="inlineStr">
        <is>
          <t>当院の患者はほぼ高齢者でありフレイル状態の方がほとんどなので、ロコモの診断はされずあえてロコモの評価をしていないからです。</t>
        </is>
      </c>
      <c r="Z125" s="3" t="inlineStr">
        <is>
          <t>Barthel Index（BI）, FIM</t>
        </is>
      </c>
      <c r="AB125" s="3" t="inlineStr">
        <is>
          <t>MMSE, HDS-R, MoCA</t>
        </is>
      </c>
      <c r="AD125" s="3" t="inlineStr">
        <is>
          <t>定量的な下肢筋力測定, 開眼片脚立位時間, TUG, 10m歩行速度, Berg Balance Scale（BBS）, 認知機能</t>
        </is>
      </c>
      <c r="AF125" s="3" t="inlineStr">
        <is>
          <t>決まっている</t>
        </is>
      </c>
      <c r="AG125" s="3" t="inlineStr">
        <is>
          <t>下肢であれば術後３０日、９０日。脊椎疾患であれば術後１週間、３０日、６０日、９０日。</t>
        </is>
      </c>
      <c r="AI125" s="3" t="inlineStr">
        <is>
          <t>下肢筋力強化, バランス練習, 歩行練習, 歩容改善, 起立、着座動作練習, 環境調整, 補助具、装具の適正化, 認知面への介入, 行動面への介入, 教育、指導</t>
        </is>
      </c>
    </row>
    <row r="126" ht="22.5" customHeight="1">
      <c r="A126" s="32" t="n">
        <v>46098.45842815972</v>
      </c>
      <c r="B126" s="3" t="inlineStr">
        <is>
          <t>安川達哉</t>
        </is>
      </c>
      <c r="C126" s="3" t="inlineStr">
        <is>
          <t>独立行政法人国立病院機構関門医療センター</t>
        </is>
      </c>
      <c r="D126" s="3" t="inlineStr">
        <is>
          <t>山口県</t>
        </is>
      </c>
      <c r="E126" s="3" t="inlineStr">
        <is>
          <t>yasukawa.tatsuya.sz@mail.hosp.go.jp</t>
        </is>
      </c>
      <c r="F126" s="3" t="inlineStr">
        <is>
          <t>リハビリテーション科/理学療法士</t>
        </is>
      </c>
      <c r="G126" s="3" t="n">
        <v>192</v>
      </c>
      <c r="H126" s="3" t="n">
        <v>14</v>
      </c>
      <c r="I126" s="3" t="n">
        <v>2</v>
      </c>
      <c r="J126" s="3" t="inlineStr">
        <is>
          <t>届け出はしていないが、現在検討中である</t>
        </is>
      </c>
      <c r="K126" s="3" t="inlineStr">
        <is>
          <t>関節可動域運動, 筋力増強運動, DVT予防, 自主運動指導, 術後リハビリテーションのオリエンテーション</t>
        </is>
      </c>
      <c r="L126" s="3" t="inlineStr">
        <is>
          <t>全症例の25％〜49％程度</t>
        </is>
      </c>
      <c r="N126" s="3" t="inlineStr">
        <is>
          <t>全症例の0％〜24％程度</t>
        </is>
      </c>
      <c r="P126" s="3" t="inlineStr">
        <is>
          <t>全症例の25％〜49％程度</t>
        </is>
      </c>
      <c r="R126" s="3" t="inlineStr">
        <is>
          <t>全症例の0％〜24％程度</t>
        </is>
      </c>
      <c r="T126" s="3" t="inlineStr">
        <is>
          <t>握力, 膝伸展筋力, 5回椅子立ち上がりテスト, 歩行速度, SPPB, TUG, 6分間歩行距離, 開眼片脚立位時間, 下腿周径, GNRI</t>
        </is>
      </c>
      <c r="V126" s="3" t="inlineStr">
        <is>
          <t>J-CHS基準, TUG, MNA-SF</t>
        </is>
      </c>
      <c r="X126" s="3" t="inlineStr">
        <is>
          <t>立ち上がりテスト</t>
        </is>
      </c>
      <c r="Z126" s="3" t="inlineStr">
        <is>
          <t>Barthel Index（BI）, FIM</t>
        </is>
      </c>
      <c r="AB126" s="3" t="inlineStr">
        <is>
          <t>MMSE, HDS-R</t>
        </is>
      </c>
      <c r="AD126" s="3" t="inlineStr">
        <is>
          <t>実施していない</t>
        </is>
      </c>
      <c r="AE126" s="3" t="inlineStr">
        <is>
          <t>施設としての定めではなく、FLS個人活動としてSPPB、10ｍ歩行テストなどを実施している。</t>
        </is>
      </c>
      <c r="AI126" s="3" t="inlineStr">
        <is>
          <t>下肢筋力強化, バランス練習, 歩行練習, 歩容改善, 起立、着座動作練習, 環境調整, 補助具、装具の適正化, 認知面への介入, 行動面への介入, 教育、指導</t>
        </is>
      </c>
    </row>
    <row r="127" ht="22.5" customHeight="1">
      <c r="A127" s="32" t="n">
        <v>46098.46045711805</v>
      </c>
      <c r="B127" s="3" t="inlineStr">
        <is>
          <t>村井　誠</t>
        </is>
      </c>
      <c r="C127" s="3" t="inlineStr">
        <is>
          <t>市立室蘭総合病院</t>
        </is>
      </c>
      <c r="D127" s="3" t="inlineStr">
        <is>
          <t>北海道</t>
        </is>
      </c>
      <c r="E127" s="3" t="inlineStr">
        <is>
          <t>murohosp220@kujiran.jp</t>
        </is>
      </c>
      <c r="F127" s="3" t="inlineStr">
        <is>
          <t>リハビリテーション科／理学療法士</t>
        </is>
      </c>
      <c r="G127" s="3" t="n">
        <v>86</v>
      </c>
      <c r="H127" s="3" t="n">
        <v>15</v>
      </c>
      <c r="I127" s="3" t="n">
        <v>6</v>
      </c>
      <c r="J127" s="3" t="inlineStr">
        <is>
          <t>届け出をしておらず、検討もしていない</t>
        </is>
      </c>
      <c r="K127" s="3" t="inlineStr">
        <is>
          <t>関節可動域運動, 筋力増強運動, 呼吸リハビリテーション, DVT予防, 自主運動指導, 術後リハビリテーションのオリエンテーション</t>
        </is>
      </c>
      <c r="L127" s="3" t="inlineStr">
        <is>
          <t>全症例の25％〜49％程度</t>
        </is>
      </c>
      <c r="N127" s="3" t="inlineStr">
        <is>
          <t>全症例の25％〜49％程度</t>
        </is>
      </c>
      <c r="P127" s="3" t="inlineStr">
        <is>
          <t>全症例の25％〜49％程度</t>
        </is>
      </c>
      <c r="R127" s="3" t="inlineStr">
        <is>
          <t>全症例の25％〜49％程度</t>
        </is>
      </c>
      <c r="T127" s="3" t="inlineStr">
        <is>
          <t>握力, 膝伸展筋力, 5回椅子立ち上がりテスト, TUG</t>
        </is>
      </c>
      <c r="V127" s="3" t="inlineStr">
        <is>
          <t>TUG, 握力</t>
        </is>
      </c>
      <c r="X127" s="3" t="inlineStr">
        <is>
          <t>立ち上がりテスト, 2ステップテスト, ロコモ25（質問票）</t>
        </is>
      </c>
      <c r="Z127" s="3" t="inlineStr">
        <is>
          <t>Barthel Index（BI）, FIM</t>
        </is>
      </c>
      <c r="AB127" s="3" t="inlineStr">
        <is>
          <t>MMSE, HDS-R</t>
        </is>
      </c>
      <c r="AD127" s="3" t="inlineStr">
        <is>
          <t>開眼片脚立位時間, TUG, Berg Balance Scale（BBS）, 5回椅子立ち上がりテスト, 認知機能, 注意障害, 薬剤（向精神薬、降圧薬、利尿薬、ポリファーマシーなど）</t>
        </is>
      </c>
      <c r="AF127" s="3" t="inlineStr">
        <is>
          <t>決まっていない</t>
        </is>
      </c>
      <c r="AI127" s="3" t="inlineStr">
        <is>
          <t>下肢筋力強化, バランス練習, 歩行練習, 歩容改善, 起立、着座動作練習, 環境調整, 補助具、装具の適正化, 認知面への介入</t>
        </is>
      </c>
    </row>
    <row r="128" ht="22.5" customHeight="1">
      <c r="A128" s="32" t="n">
        <v>46098.48175304398</v>
      </c>
      <c r="B128" s="3" t="inlineStr">
        <is>
          <t>桑原道生</t>
        </is>
      </c>
      <c r="C128" s="3" t="inlineStr">
        <is>
          <t>社会医療法人愛生会総合上飯田第一病院</t>
        </is>
      </c>
      <c r="D128" s="3" t="inlineStr">
        <is>
          <t>愛知県</t>
        </is>
      </c>
      <c r="E128" s="3" t="inlineStr">
        <is>
          <t>daiichiriha@kamiiida-hp.jp</t>
        </is>
      </c>
      <c r="F128" s="3" t="inlineStr">
        <is>
          <t>リハビリテーション科/理学療法士</t>
        </is>
      </c>
      <c r="G128" s="3" t="n">
        <v>398</v>
      </c>
      <c r="H128" s="3" t="n">
        <v>16</v>
      </c>
      <c r="I128" s="3" t="n">
        <v>14</v>
      </c>
      <c r="J128" s="3" t="inlineStr">
        <is>
          <t>届け出をしておらず、検討もしていない</t>
        </is>
      </c>
      <c r="K128" s="3" t="inlineStr">
        <is>
          <t>筋力増強運動, DVT予防, ポジショニング, 自主運動指導, 術後リハビリテーションのオリエンテーション</t>
        </is>
      </c>
      <c r="L128" s="3" t="inlineStr">
        <is>
          <t>全症例の0％〜24％程度</t>
        </is>
      </c>
      <c r="N128" s="3" t="inlineStr">
        <is>
          <t>全症例の0％〜24％程度</t>
        </is>
      </c>
      <c r="P128" s="3" t="inlineStr">
        <is>
          <t>全症例の0％〜24％程度</t>
        </is>
      </c>
      <c r="R128" s="3" t="inlineStr">
        <is>
          <t>全症例の0％〜24％程度</t>
        </is>
      </c>
      <c r="T128" s="3" t="inlineStr">
        <is>
          <t>握力, 5回椅子立ち上がりテスト, SPPB, In body</t>
        </is>
      </c>
      <c r="V128" s="3" t="inlineStr">
        <is>
          <t>6分間歩行距離, 認知機能, 握力</t>
        </is>
      </c>
      <c r="X128" s="3" t="inlineStr">
        <is>
          <t>立ち上がりテスト, 2ステップテスト</t>
        </is>
      </c>
      <c r="Z128" s="3" t="inlineStr">
        <is>
          <t>Barthel Index（BI）, FIM</t>
        </is>
      </c>
      <c r="AB128" s="3" t="inlineStr">
        <is>
          <t>MMSE, HDS-R, MoCA, AMTS</t>
        </is>
      </c>
      <c r="AD128" s="3" t="inlineStr">
        <is>
          <t>認知機能, 過去の転倒歴, 既往疾患の有無（脳血管疾患、パーキンソン病など）</t>
        </is>
      </c>
      <c r="AF128" s="3" t="inlineStr">
        <is>
          <t>決まっている</t>
        </is>
      </c>
      <c r="AG128" s="3" t="inlineStr">
        <is>
          <t>AMTSは可能な限り術前、MMSE-Jは術後2日目に実施</t>
        </is>
      </c>
      <c r="AI128" s="3" t="inlineStr">
        <is>
          <t>下肢筋力強化, バランス練習, 歩行練習, 歩容改善, 起立、着座動作練習, 環境調整, 補助具、装具の適正化, 認知面への介入, 行動面への介入, 教育、指導</t>
        </is>
      </c>
    </row>
    <row r="129" ht="22.5" customHeight="1">
      <c r="A129" s="32" t="n">
        <v>46098.50742172453</v>
      </c>
      <c r="B129" s="3" t="inlineStr">
        <is>
          <t>荒川　栄人</t>
        </is>
      </c>
      <c r="C129" s="3" t="inlineStr">
        <is>
          <t>一般社団法人　天草郡市医師会立天草地域医療センター</t>
        </is>
      </c>
      <c r="D129" s="3" t="inlineStr">
        <is>
          <t>熊本県</t>
        </is>
      </c>
      <c r="E129" s="3" t="inlineStr">
        <is>
          <t>ta-nojima@amed.jp</t>
        </is>
      </c>
      <c r="F129" s="3" t="inlineStr">
        <is>
          <t>リハビリテーション科／理学療法士</t>
        </is>
      </c>
      <c r="G129" s="3" t="n">
        <v>22</v>
      </c>
      <c r="H129" s="3" t="n">
        <v>9</v>
      </c>
      <c r="I129" s="3" t="n">
        <v>0</v>
      </c>
      <c r="J129" s="3" t="inlineStr">
        <is>
          <t>届け出をしておらず、検討もしていない</t>
        </is>
      </c>
      <c r="K129" s="3" t="inlineStr">
        <is>
          <t>実施していない</t>
        </is>
      </c>
      <c r="L129" s="3" t="inlineStr">
        <is>
          <t>全症例の75％〜100％程度</t>
        </is>
      </c>
      <c r="M129" s="3" t="inlineStr">
        <is>
          <t>内服薬をリハビリ前に内服していただく</t>
        </is>
      </c>
      <c r="N129" s="3" t="inlineStr">
        <is>
          <t>全症例の25％〜49％程度</t>
        </is>
      </c>
      <c r="P129" s="3" t="inlineStr">
        <is>
          <t>全症例の25％〜49％程度</t>
        </is>
      </c>
      <c r="R129" s="3" t="inlineStr">
        <is>
          <t>全症例の0％〜24％程度</t>
        </is>
      </c>
      <c r="T129" s="3" t="inlineStr">
        <is>
          <t>実施していない</t>
        </is>
      </c>
      <c r="U129" s="3" t="inlineStr">
        <is>
          <t>サルコペニアの診断でリハビリが関わることが少ないため</t>
        </is>
      </c>
      <c r="V129" s="3" t="inlineStr">
        <is>
          <t>実施していない</t>
        </is>
      </c>
      <c r="W129" s="3" t="inlineStr">
        <is>
          <t>フレイルの診断でリハビリが関わることが少ないため</t>
        </is>
      </c>
      <c r="X129" s="3" t="inlineStr">
        <is>
          <t>実施していない</t>
        </is>
      </c>
      <c r="Y129" s="3" t="inlineStr">
        <is>
          <t>ロコモティブシンドロームの診断でリハビリが関わることが少ないため</t>
        </is>
      </c>
      <c r="Z129" s="3" t="inlineStr">
        <is>
          <t>Barthel Index（BI）, FIM</t>
        </is>
      </c>
      <c r="AB129" s="3" t="inlineStr">
        <is>
          <t>MMSE, HDS-R</t>
        </is>
      </c>
      <c r="AD129" s="3" t="inlineStr">
        <is>
          <t>握力</t>
        </is>
      </c>
      <c r="AF129" s="3" t="inlineStr">
        <is>
          <t>決まっていない</t>
        </is>
      </c>
      <c r="AH129" s="3" t="inlineStr">
        <is>
          <t>せん妄など全身状態で測れないことがあるため、測れるようになって測定している。</t>
        </is>
      </c>
      <c r="AI129" s="3" t="inlineStr">
        <is>
          <t>下肢筋力強化, 歩行練習, 起立、着座動作練習, 補助具、装具の適正化</t>
        </is>
      </c>
    </row>
    <row r="130" ht="22.5" customHeight="1">
      <c r="A130" s="32" t="n">
        <v>46098.54050359954</v>
      </c>
      <c r="B130" s="3" t="inlineStr">
        <is>
          <t>菊地健介</t>
        </is>
      </c>
      <c r="C130" s="3" t="inlineStr">
        <is>
          <t>名戸ヶ谷病院</t>
        </is>
      </c>
      <c r="D130" s="3" t="inlineStr">
        <is>
          <t>千葉県</t>
        </is>
      </c>
      <c r="E130" s="3" t="inlineStr">
        <is>
          <t>reha-kikuchi@nadogaya.com</t>
        </is>
      </c>
      <c r="F130" s="3" t="inlineStr">
        <is>
          <t>リハビリテーション科／理学療法士</t>
        </is>
      </c>
      <c r="G130" s="3" t="n">
        <v>256</v>
      </c>
      <c r="H130" s="3" t="n">
        <v>7</v>
      </c>
      <c r="I130" s="3" t="n">
        <v>1</v>
      </c>
      <c r="J130" s="3" t="inlineStr">
        <is>
          <t>届け出をしておらず、検討もしていない</t>
        </is>
      </c>
      <c r="K130" s="3" t="inlineStr">
        <is>
          <t>実施していない</t>
        </is>
      </c>
      <c r="L130" s="3" t="inlineStr">
        <is>
          <t>全症例の0％〜24％程度</t>
        </is>
      </c>
      <c r="N130" s="3" t="inlineStr">
        <is>
          <t>全症例の0％〜24％程度</t>
        </is>
      </c>
      <c r="P130" s="3" t="inlineStr">
        <is>
          <t>全症例の0％〜24％程度</t>
        </is>
      </c>
      <c r="R130" s="3" t="inlineStr">
        <is>
          <t>全症例の0％〜24％程度</t>
        </is>
      </c>
      <c r="T130" s="3" t="inlineStr">
        <is>
          <t>実施していない</t>
        </is>
      </c>
      <c r="U130" s="3" t="inlineStr">
        <is>
          <t>入院前からサルコペニアの状態の方が多いため。</t>
        </is>
      </c>
      <c r="V130" s="3" t="inlineStr">
        <is>
          <t>実施していない</t>
        </is>
      </c>
      <c r="W130" s="3" t="inlineStr">
        <is>
          <t>入院前からフレイルの状態の方が多いため。</t>
        </is>
      </c>
      <c r="X130" s="3" t="inlineStr">
        <is>
          <t>実施していない</t>
        </is>
      </c>
      <c r="Y130" s="3" t="inlineStr">
        <is>
          <t>入院前からロコモティブシンドロームに該当する状態の方が多いため。</t>
        </is>
      </c>
      <c r="Z130" s="3" t="inlineStr">
        <is>
          <t>FIM</t>
        </is>
      </c>
      <c r="AB130" s="3" t="inlineStr">
        <is>
          <t>MMSE</t>
        </is>
      </c>
      <c r="AD130" s="3" t="inlineStr">
        <is>
          <t>実施していない</t>
        </is>
      </c>
      <c r="AE130" s="3" t="inlineStr">
        <is>
          <t>理由は特にありません。</t>
        </is>
      </c>
      <c r="AF130" s="3" t="inlineStr">
        <is>
          <t>決まっていない</t>
        </is>
      </c>
      <c r="AH130" s="3" t="inlineStr">
        <is>
          <t>理由は特にありません。</t>
        </is>
      </c>
      <c r="AI130" s="3" t="inlineStr">
        <is>
          <t>下肢筋力強化, バランス練習, 歩行練習, 起立、着座動作練習, 環境調整, 補助具、装具の適正化, 教育、指導</t>
        </is>
      </c>
    </row>
    <row r="131" ht="22.5" customHeight="1">
      <c r="A131" s="32" t="n">
        <v>46098.54300336805</v>
      </c>
      <c r="B131" s="3" t="inlineStr">
        <is>
          <t>網中陽子</t>
        </is>
      </c>
      <c r="C131" s="3" t="inlineStr">
        <is>
          <t>北里研究所病院</t>
        </is>
      </c>
      <c r="D131" s="3" t="inlineStr">
        <is>
          <t>東京都</t>
        </is>
      </c>
      <c r="E131" s="3" t="inlineStr">
        <is>
          <t>a.yoko@insti.kitasato-u.ac.jp</t>
        </is>
      </c>
      <c r="G131" s="3" t="n">
        <v>64</v>
      </c>
      <c r="H131" s="3" t="n">
        <v>15</v>
      </c>
      <c r="I131" s="3" t="n">
        <v>4</v>
      </c>
      <c r="J131" s="3" t="inlineStr">
        <is>
          <t>届け出はしていないが、現在検討中である</t>
        </is>
      </c>
      <c r="K131" s="3" t="inlineStr">
        <is>
          <t>実施していない</t>
        </is>
      </c>
      <c r="L131" s="3" t="inlineStr">
        <is>
          <t>全症例の50％〜74％程度</t>
        </is>
      </c>
      <c r="M131" s="3" t="inlineStr">
        <is>
          <t>繰り返し介入する</t>
        </is>
      </c>
      <c r="N131" s="3" t="inlineStr">
        <is>
          <t>全症例の0％〜24％程度</t>
        </is>
      </c>
      <c r="P131" s="3" t="inlineStr">
        <is>
          <t>全症例の0％〜24％程度</t>
        </is>
      </c>
      <c r="R131" s="3" t="inlineStr">
        <is>
          <t>全症例の0％〜24％程度</t>
        </is>
      </c>
      <c r="T131" s="3" t="inlineStr">
        <is>
          <t>握力, 5回椅子立ち上がりテスト, 歩行速度, SPPB, 開眼片脚立位時間</t>
        </is>
      </c>
      <c r="V131" s="3" t="inlineStr">
        <is>
          <t>実施していない</t>
        </is>
      </c>
      <c r="W131" s="3" t="inlineStr">
        <is>
          <t>サルコペニアを評価しているため</t>
        </is>
      </c>
      <c r="X131" s="3" t="inlineStr">
        <is>
          <t>実施していない</t>
        </is>
      </c>
      <c r="Y131" s="3" t="inlineStr">
        <is>
          <t>サルコペニアを評価しているため</t>
        </is>
      </c>
      <c r="Z131" s="3" t="inlineStr">
        <is>
          <t>Barthel Index（BI）, FIM</t>
        </is>
      </c>
      <c r="AB131" s="3" t="inlineStr">
        <is>
          <t>MMSE</t>
        </is>
      </c>
      <c r="AD131" s="3" t="inlineStr">
        <is>
          <t>SPPB、Functional Reach Test（FRT）, 認知機能, 過去の転倒歴</t>
        </is>
      </c>
      <c r="AF131" s="3" t="inlineStr">
        <is>
          <t>決まっていない</t>
        </is>
      </c>
      <c r="AH131" s="3" t="inlineStr">
        <is>
          <t>歩行獲得までの日数に個人差があるため、入院中に実施することだけ定めている</t>
        </is>
      </c>
      <c r="AI131" s="3" t="inlineStr">
        <is>
          <t>下肢筋力強化, 歩行練習, 起立、着座動作練習, 環境調整, 認知面への介入</t>
        </is>
      </c>
    </row>
    <row r="132" ht="22.5" customHeight="1">
      <c r="A132" s="32" t="n">
        <v>46098.54464203704</v>
      </c>
      <c r="B132" s="3" t="inlineStr">
        <is>
          <t>相原　裕幸</t>
        </is>
      </c>
      <c r="C132" s="3" t="inlineStr">
        <is>
          <t>茨城県西部メディカルセンター</t>
        </is>
      </c>
      <c r="D132" s="3" t="inlineStr">
        <is>
          <t>茨城県</t>
        </is>
      </c>
      <c r="E132" s="3" t="inlineStr">
        <is>
          <t>hiroyuki.aihara@iwmo.or.jp</t>
        </is>
      </c>
      <c r="F132" s="3" t="inlineStr">
        <is>
          <t>リハビリテーション技術科/理学療法士</t>
        </is>
      </c>
      <c r="G132" s="3" t="n">
        <v>124</v>
      </c>
      <c r="H132" s="3" t="n">
        <v>6</v>
      </c>
      <c r="I132" s="3" t="n">
        <v>3</v>
      </c>
      <c r="J132" s="3" t="inlineStr">
        <is>
          <t>届け出をしておらず、検討もしていない</t>
        </is>
      </c>
      <c r="K132" s="3" t="inlineStr">
        <is>
          <t>関節可動域運動, 筋力増強運動, ポジショニング, 自主運動指導</t>
        </is>
      </c>
      <c r="L132" s="3" t="inlineStr">
        <is>
          <t>全症例の25％〜49％程度</t>
        </is>
      </c>
      <c r="N132" s="3" t="inlineStr">
        <is>
          <t>全症例の0％〜24％程度</t>
        </is>
      </c>
      <c r="P132" s="3" t="inlineStr">
        <is>
          <t>全症例の0％〜24％程度</t>
        </is>
      </c>
      <c r="R132" s="3" t="inlineStr">
        <is>
          <t>全症例の0％〜24％程度</t>
        </is>
      </c>
      <c r="T132" s="3" t="inlineStr">
        <is>
          <t>実施していない</t>
        </is>
      </c>
      <c r="V132" s="3" t="inlineStr">
        <is>
          <t>実施していない</t>
        </is>
      </c>
      <c r="X132" s="3" t="inlineStr">
        <is>
          <t>実施していない</t>
        </is>
      </c>
      <c r="Z132" s="3" t="inlineStr">
        <is>
          <t>Barthel Index（BI）</t>
        </is>
      </c>
      <c r="AB132" s="3" t="inlineStr">
        <is>
          <t>HDS-R</t>
        </is>
      </c>
      <c r="AD132" s="3" t="inlineStr">
        <is>
          <t>起立評価</t>
        </is>
      </c>
      <c r="AF132" s="3" t="inlineStr">
        <is>
          <t>決まっている</t>
        </is>
      </c>
      <c r="AG132" s="3" t="inlineStr">
        <is>
          <t>1日目</t>
        </is>
      </c>
      <c r="AI132" s="3" t="inlineStr">
        <is>
          <t>下肢筋力強化, バランス練習, 歩行練習, 歩容改善, 起立、着座動作練習, 環境調整, 補助具、装具の適正化, 認知面への介入, 行動面への介入</t>
        </is>
      </c>
    </row>
    <row r="133" ht="22.5" customHeight="1">
      <c r="A133" s="32" t="n">
        <v>46098.56557533565</v>
      </c>
      <c r="B133" s="3" t="inlineStr">
        <is>
          <t>三本 坪大</t>
        </is>
      </c>
      <c r="C133" s="3" t="inlineStr">
        <is>
          <t>独立行政法人地域医療機能推進機構神戸中央病院</t>
        </is>
      </c>
      <c r="D133" s="3" t="inlineStr">
        <is>
          <t>兵庫県</t>
        </is>
      </c>
      <c r="E133" s="3" t="inlineStr">
        <is>
          <t>mitsumoto-heidai@kobe.jcho.go.jp</t>
        </is>
      </c>
      <c r="F133" s="3" t="inlineStr">
        <is>
          <t>リハビリテーション科診療部/理学療法士</t>
        </is>
      </c>
      <c r="G133" s="3" t="n">
        <v>168</v>
      </c>
      <c r="H133" s="3" t="n">
        <v>10</v>
      </c>
      <c r="I133" s="3" t="n">
        <v>0</v>
      </c>
      <c r="J133" s="3" t="inlineStr">
        <is>
          <t>届け出をしておらず、検討もしていない</t>
        </is>
      </c>
      <c r="K133" s="3" t="inlineStr">
        <is>
          <t>関節可動域運動, 筋力増強運動, 呼吸リハビリテーション, DVT予防, リラクセーション, ポジショニング, 自主運動指導, 術後リハビリテーションのオリエンテーション, 離床（例：車椅子移乗,立位,歩行など）</t>
        </is>
      </c>
      <c r="L133" s="3" t="inlineStr">
        <is>
          <t>全症例の0％〜24％程度</t>
        </is>
      </c>
      <c r="N133" s="3" t="inlineStr">
        <is>
          <t>全症例の0％〜24％程度</t>
        </is>
      </c>
      <c r="P133" s="3" t="inlineStr">
        <is>
          <t>全症例の0％〜24％程度</t>
        </is>
      </c>
      <c r="R133" s="3" t="inlineStr">
        <is>
          <t>全症例の0％〜24％程度</t>
        </is>
      </c>
      <c r="T133" s="3" t="inlineStr">
        <is>
          <t>握力, 膝伸展筋力, 5回椅子立ち上がりテスト, 歩行速度, TUG</t>
        </is>
      </c>
      <c r="V133" s="3" t="inlineStr">
        <is>
          <t>TUG, 認知機能, 握力</t>
        </is>
      </c>
      <c r="X133" s="3" t="inlineStr">
        <is>
          <t>立ち上がりテスト, 2ステップテスト, ロコモ25（質問票）</t>
        </is>
      </c>
      <c r="Z133" s="3" t="inlineStr">
        <is>
          <t>Barthel Index（BI）, FIM</t>
        </is>
      </c>
      <c r="AB133" s="3" t="inlineStr">
        <is>
          <t>MMSE, HDS-R</t>
        </is>
      </c>
      <c r="AD133" s="3" t="inlineStr">
        <is>
          <t>定量的な下肢筋力測定, 開眼片脚立位時間, TUG, 10m歩行速度, 認知機能</t>
        </is>
      </c>
      <c r="AF133" s="3" t="inlineStr">
        <is>
          <t>決まっていない</t>
        </is>
      </c>
      <c r="AH133" s="3" t="inlineStr">
        <is>
          <t>実施可能な状態になってから測定するため。主治医と担当が骨粗鬆症に注視しているかどうかによっても異なるため。</t>
        </is>
      </c>
      <c r="AI133" s="3" t="inlineStr">
        <is>
          <t>下肢筋力強化, バランス練習, 歩行練習, 歩容改善, 起立、着座動作練習, 環境調整, 補助具、装具の適正化, 認知面への介入, 教育、指導</t>
        </is>
      </c>
    </row>
    <row r="134" ht="22.5" customHeight="1">
      <c r="A134" s="32" t="n">
        <v>46098.56933053241</v>
      </c>
      <c r="B134" s="3" t="inlineStr">
        <is>
          <t>山口　知恭</t>
        </is>
      </c>
      <c r="C134" s="3" t="inlineStr">
        <is>
          <t>稲沢市民病院</t>
        </is>
      </c>
      <c r="D134" s="3" t="inlineStr">
        <is>
          <t>愛知県</t>
        </is>
      </c>
      <c r="E134" s="3" t="inlineStr">
        <is>
          <t>t-yamaguchi@city.inazawa.aichi.jp</t>
        </is>
      </c>
      <c r="F134" s="3" t="inlineStr">
        <is>
          <t>リハビリテーション室/理学療法士</t>
        </is>
      </c>
      <c r="G134" s="3" t="n">
        <v>2972</v>
      </c>
      <c r="H134" s="3" t="n">
        <v>12</v>
      </c>
      <c r="I134" s="3" t="n">
        <v>6</v>
      </c>
      <c r="J134" s="3" t="inlineStr">
        <is>
          <t>届け出をしておらず、検討もしていない</t>
        </is>
      </c>
      <c r="K134" s="3" t="inlineStr">
        <is>
          <t>関節可動域運動, 筋力増強運動, 呼吸リハビリテーション, DVT予防, リラクセーション, ポジショニング, 自主運動指導, 術後リハビリテーションのオリエンテーション, 離床（例：車椅子移乗,立位,歩行など）</t>
        </is>
      </c>
      <c r="L134" s="3" t="inlineStr">
        <is>
          <t>全症例の0％〜24％程度</t>
        </is>
      </c>
      <c r="N134" s="3" t="inlineStr">
        <is>
          <t>全症例の0％〜24％程度</t>
        </is>
      </c>
      <c r="P134" s="3" t="inlineStr">
        <is>
          <t>全症例の0％〜24％程度</t>
        </is>
      </c>
      <c r="R134" s="3" t="inlineStr">
        <is>
          <t>全症例の0％〜24％程度</t>
        </is>
      </c>
      <c r="T134" s="3" t="inlineStr">
        <is>
          <t>実施していない</t>
        </is>
      </c>
      <c r="U134" s="3" t="inlineStr">
        <is>
          <t>サルコペニア評価として必須としていないことやマンパワー不足のため未実施</t>
        </is>
      </c>
      <c r="V134" s="3" t="inlineStr">
        <is>
          <t>実施していない</t>
        </is>
      </c>
      <c r="W134" s="3" t="inlineStr">
        <is>
          <t xml:space="preserve">必要に応じて行う検査もありますが、必須としていない　</t>
        </is>
      </c>
      <c r="X134" s="3" t="inlineStr">
        <is>
          <t>実施していない</t>
        </is>
      </c>
      <c r="Y134" s="3" t="inlineStr">
        <is>
          <t>多忙な業務の中でロコモの評価に時間をとることが困難であるとともに2ステップが転倒リスクが高いため未評価</t>
        </is>
      </c>
      <c r="Z134" s="3" t="inlineStr">
        <is>
          <t>Barthel Index（BI）</t>
        </is>
      </c>
      <c r="AB134" s="3" t="inlineStr">
        <is>
          <t>MMSE, HDS-R</t>
        </is>
      </c>
      <c r="AD134" s="3" t="inlineStr">
        <is>
          <t>実施していない</t>
        </is>
      </c>
      <c r="AE134" s="3" t="inlineStr">
        <is>
          <t>看護部門にて実施されているため</t>
        </is>
      </c>
      <c r="AI134" s="3" t="inlineStr">
        <is>
          <t>下肢筋力強化, バランス練習, 歩行練習, 歩容改善, 起立、着座動作練習, 補助具、装具の適正化, 認知面への介入, 教育、指導</t>
        </is>
      </c>
    </row>
    <row r="135" ht="22.5" customHeight="1">
      <c r="A135" s="32" t="n">
        <v>46098.57309763889</v>
      </c>
      <c r="B135" s="3" t="inlineStr">
        <is>
          <t>秋吉秀美</t>
        </is>
      </c>
      <c r="C135" s="3" t="inlineStr">
        <is>
          <t>総合南東北病院</t>
        </is>
      </c>
      <c r="D135" s="3" t="inlineStr">
        <is>
          <t>福島県</t>
        </is>
      </c>
      <c r="E135" s="3" t="inlineStr">
        <is>
          <t>akyshdm08@yahoo.co.jp</t>
        </is>
      </c>
      <c r="F135" s="3" t="inlineStr">
        <is>
          <t>リハビリテーション科／理学療法士</t>
        </is>
      </c>
      <c r="G135" s="3" t="n">
        <v>135</v>
      </c>
      <c r="H135" s="3" t="n">
        <v>10</v>
      </c>
      <c r="I135" s="3" t="n">
        <v>8</v>
      </c>
      <c r="J135" s="3" t="inlineStr">
        <is>
          <t>現在、算定している</t>
        </is>
      </c>
      <c r="K135" s="3" t="inlineStr">
        <is>
          <t>関節可動域運動, 筋力増強運動, DVT予防, リラクセーション, ポジショニング, 術後リハビリテーションのオリエンテーション, 離床（例：車椅子移乗,立位,歩行など）</t>
        </is>
      </c>
      <c r="L135" s="3" t="inlineStr">
        <is>
          <t>全症例の0％〜24％程度</t>
        </is>
      </c>
      <c r="M135" s="3" t="inlineStr">
        <is>
          <t>鎮痛薬の点滴、内服</t>
        </is>
      </c>
      <c r="N135" s="3" t="inlineStr">
        <is>
          <t>全症例の0％〜24％程度</t>
        </is>
      </c>
      <c r="O135" s="3" t="inlineStr">
        <is>
          <t>術前や術後に認知症カンファレンスを病棟で開催</t>
        </is>
      </c>
      <c r="P135" s="3" t="inlineStr">
        <is>
          <t>全症例の0％〜24％程度</t>
        </is>
      </c>
      <c r="Q135" s="3" t="inlineStr">
        <is>
          <t>他科へのコンサルトをしても適宜早急に対応していただける環境作り</t>
        </is>
      </c>
      <c r="R135" s="3" t="inlineStr">
        <is>
          <t>全症例の0％〜24％程度</t>
        </is>
      </c>
      <c r="S135" s="3" t="inlineStr">
        <is>
          <t>リハビリと病棟ナースとの連携</t>
        </is>
      </c>
      <c r="T135" s="3" t="inlineStr">
        <is>
          <t>握力, TUG, 骨格筋量指数（SMI）, 下腿周径, MNA-SF</t>
        </is>
      </c>
      <c r="V135" s="3" t="inlineStr">
        <is>
          <t>TUG, 認知機能, 抑うつや意欲低下, MNA-SF, 握力</t>
        </is>
      </c>
      <c r="X135" s="3" t="inlineStr">
        <is>
          <t>立ち上がりテスト</t>
        </is>
      </c>
      <c r="Z135" s="3" t="inlineStr">
        <is>
          <t>Barthel Index（BI）, FIM</t>
        </is>
      </c>
      <c r="AB135" s="3" t="inlineStr">
        <is>
          <t>HDS-R, AMTS</t>
        </is>
      </c>
      <c r="AD135" s="3" t="inlineStr">
        <is>
          <t>TUG, 認知機能, 転倒恐怖感, 過去の転倒歴, 既往疾患の有無（脳血管疾患、パーキンソン病など）, 薬剤（向精神薬、降圧薬、利尿薬、ポリファーマシーなど）, ベッド周囲および病室環境</t>
        </is>
      </c>
      <c r="AF135" s="3" t="inlineStr">
        <is>
          <t>決まっている</t>
        </is>
      </c>
      <c r="AG135" s="3" t="inlineStr">
        <is>
          <t>7,14</t>
        </is>
      </c>
      <c r="AI135" s="3" t="inlineStr">
        <is>
          <t>下肢筋力強化, バランス練習, 歩行練習, 歩容改善, 起立、着座動作練習, 環境調整, 補助具、装具の適正化, 認知面への介入, 教育、指導</t>
        </is>
      </c>
    </row>
    <row r="136" ht="22.5" customHeight="1">
      <c r="A136" s="32" t="n">
        <v>46098.57754246527</v>
      </c>
      <c r="B136" s="3" t="inlineStr">
        <is>
          <t>三谷祐史</t>
        </is>
      </c>
      <c r="C136" s="3" t="inlineStr">
        <is>
          <t>日本赤十字社愛知医療センター名古屋第二病院</t>
        </is>
      </c>
      <c r="D136" s="3" t="inlineStr">
        <is>
          <t>愛知県</t>
        </is>
      </c>
      <c r="E136" s="3" t="inlineStr">
        <is>
          <t>uc0517@nagoya2.jrc.or.jp</t>
        </is>
      </c>
      <c r="F136" s="3" t="inlineStr">
        <is>
          <t>リハビリテーション科/理学療法士</t>
        </is>
      </c>
      <c r="G136" s="3" t="n">
        <v>278</v>
      </c>
      <c r="H136" s="3" t="n">
        <v>29</v>
      </c>
      <c r="I136" s="3" t="n">
        <v>18</v>
      </c>
      <c r="J136" s="3" t="inlineStr">
        <is>
          <t>現在、算定している</t>
        </is>
      </c>
      <c r="K136" s="3" t="inlineStr">
        <is>
          <t>実施していない</t>
        </is>
      </c>
      <c r="L136" s="3" t="inlineStr">
        <is>
          <t>全症例の0％〜24％程度</t>
        </is>
      </c>
      <c r="N136" s="3" t="inlineStr">
        <is>
          <t>全症例の0％〜24％程度</t>
        </is>
      </c>
      <c r="P136" s="3" t="inlineStr">
        <is>
          <t>全症例の0％〜24％程度</t>
        </is>
      </c>
      <c r="R136" s="3" t="inlineStr">
        <is>
          <t>全症例の0％〜24％程度</t>
        </is>
      </c>
      <c r="T136" s="3" t="inlineStr">
        <is>
          <t>握力, 膝伸展筋力, 5回椅子立ち上がりテスト, 歩行速度, 骨格筋量指数（SMI）</t>
        </is>
      </c>
      <c r="V136" s="3" t="inlineStr">
        <is>
          <t>J-CHS基準</t>
        </is>
      </c>
      <c r="X136" s="3" t="inlineStr">
        <is>
          <t>立ち上がりテスト, 2ステップテスト, ロコモ25（質問票）</t>
        </is>
      </c>
      <c r="Z136" s="3" t="inlineStr">
        <is>
          <t>Barthel Index（BI）, FIM</t>
        </is>
      </c>
      <c r="AB136" s="3" t="inlineStr">
        <is>
          <t>MMSE, HDS-R, AMTS</t>
        </is>
      </c>
      <c r="AD136" s="3" t="inlineStr">
        <is>
          <t>10m歩行速度, Berg Balance Scale（BBS）, SPPB、Functional Reach Test（FRT）, 認知機能, 転倒恐怖感, 過去の転倒歴, 既往疾患の有無（脳血管疾患、パーキンソン病など）, 薬剤（向精神薬、降圧薬、利尿薬、ポリファーマシーなど）</t>
        </is>
      </c>
      <c r="AF136" s="3" t="inlineStr">
        <is>
          <t>決まっている</t>
        </is>
      </c>
      <c r="AG136" s="3" t="inlineStr">
        <is>
          <t>7日目</t>
        </is>
      </c>
      <c r="AI136" s="3" t="inlineStr">
        <is>
          <t>下肢筋力強化, バランス練習, 歩行練習, 歩容改善, 起立、着座動作練習, 環境調整, 補助具、装具の適正化, 教育、指導</t>
        </is>
      </c>
    </row>
    <row r="137" ht="22.5" customHeight="1">
      <c r="A137" s="32" t="n">
        <v>46098.58415228009</v>
      </c>
      <c r="B137" s="3" t="inlineStr">
        <is>
          <t>松田洋平</t>
        </is>
      </c>
      <c r="C137" s="3" t="inlineStr">
        <is>
          <t>医療法人大植会葛城病院</t>
        </is>
      </c>
      <c r="D137" s="3" t="inlineStr">
        <is>
          <t>大阪府</t>
        </is>
      </c>
      <c r="E137" s="3" t="inlineStr">
        <is>
          <t>matsuda@katsuragi-hosp.or.jp</t>
        </is>
      </c>
      <c r="F137" s="3" t="inlineStr">
        <is>
          <t>リハビリテーション部　理学療法課／理学療法士会</t>
        </is>
      </c>
      <c r="G137" s="3" t="n">
        <v>220</v>
      </c>
      <c r="H137" s="3" t="n">
        <v>40</v>
      </c>
      <c r="I137" s="3" t="n">
        <v>12</v>
      </c>
      <c r="J137" s="3" t="inlineStr">
        <is>
          <t>届け出はしていないが、現在検討中である</t>
        </is>
      </c>
      <c r="K137" s="3" t="inlineStr">
        <is>
          <t>関節可動域運動, 筋力増強運動, 呼吸リハビリテーション, DVT予防, リラクセーション, ポジショニング, 自主運動指導</t>
        </is>
      </c>
      <c r="L137" s="3" t="inlineStr">
        <is>
          <t>全症例の25％〜49％程度</t>
        </is>
      </c>
      <c r="N137" s="3" t="inlineStr">
        <is>
          <t>全症例の25％〜49％程度</t>
        </is>
      </c>
      <c r="P137" s="3" t="inlineStr">
        <is>
          <t>全症例の25％〜49％程度</t>
        </is>
      </c>
      <c r="R137" s="3" t="inlineStr">
        <is>
          <t>全症例の0％〜24％程度</t>
        </is>
      </c>
      <c r="T137" s="3" t="inlineStr">
        <is>
          <t>握力, 5回椅子立ち上がりテスト, 歩行速度, 開眼片脚立位時間, 骨格筋量指数（SMI）, 下腿周径</t>
        </is>
      </c>
      <c r="V137" s="3" t="inlineStr">
        <is>
          <t>認知機能, 握力</t>
        </is>
      </c>
      <c r="X137" s="3" t="inlineStr">
        <is>
          <t>立ち上がりテスト, 2ステップテスト</t>
        </is>
      </c>
      <c r="Z137" s="3" t="inlineStr">
        <is>
          <t>Barthel Index（BI）, FIM</t>
        </is>
      </c>
      <c r="AB137" s="3" t="inlineStr">
        <is>
          <t>MMSE</t>
        </is>
      </c>
      <c r="AD137" s="3" t="inlineStr">
        <is>
          <t>開眼片脚立位時間, 10m歩行速度, 5回椅子立ち上がりテスト, 認知機能</t>
        </is>
      </c>
      <c r="AF137" s="3" t="inlineStr">
        <is>
          <t>決まっている</t>
        </is>
      </c>
      <c r="AG137" s="3" t="inlineStr">
        <is>
          <t>術後７日以内</t>
        </is>
      </c>
      <c r="AI137" s="3" t="inlineStr">
        <is>
          <t>下肢筋力強化, バランス練習, 歩行練習, 歩容改善, 起立、着座動作練習, 環境調整, 認知面への介入, 行動面への介入, 教育、指導</t>
        </is>
      </c>
    </row>
    <row r="138" ht="22.5" customHeight="1">
      <c r="A138" s="32" t="n">
        <v>46098.61471619213</v>
      </c>
      <c r="B138" s="3" t="inlineStr">
        <is>
          <t>笠　卓也</t>
        </is>
      </c>
      <c r="C138" s="3" t="inlineStr">
        <is>
          <t>社会医療法人天神会　古賀病院21</t>
        </is>
      </c>
      <c r="D138" s="3" t="inlineStr">
        <is>
          <t>福岡県</t>
        </is>
      </c>
      <c r="E138" s="3" t="inlineStr">
        <is>
          <t>k21riha@tenjinkai.or.jp</t>
        </is>
      </c>
      <c r="F138" s="3" t="inlineStr">
        <is>
          <t>リハビリテーション課／理学療法士</t>
        </is>
      </c>
      <c r="G138" s="3" t="n">
        <v>168</v>
      </c>
      <c r="H138" s="3" t="n">
        <v>31</v>
      </c>
      <c r="I138" s="3" t="n">
        <v>18</v>
      </c>
      <c r="J138" s="3" t="inlineStr">
        <is>
          <t>現在、算定している</t>
        </is>
      </c>
      <c r="K138" s="3" t="inlineStr">
        <is>
          <t>関節可動域運動, 筋力増強運動, 呼吸リハビリテーション, DVT予防, リラクセーション, ポジショニング, 自主運動指導, 術後リハビリテーションのオリエンテーション</t>
        </is>
      </c>
      <c r="L138" s="3" t="inlineStr">
        <is>
          <t>全症例の50％〜74％程度</t>
        </is>
      </c>
      <c r="M138" s="3" t="inlineStr">
        <is>
          <t>ポジショニング</t>
        </is>
      </c>
      <c r="N138" s="3" t="inlineStr">
        <is>
          <t>全症例の0％〜24％程度</t>
        </is>
      </c>
      <c r="P138" s="3" t="inlineStr">
        <is>
          <t>全症例の0％〜24％程度</t>
        </is>
      </c>
      <c r="R138" s="3" t="inlineStr">
        <is>
          <t>全症例の0％〜24％程度</t>
        </is>
      </c>
      <c r="T138" s="3" t="inlineStr">
        <is>
          <t>握力, 5回椅子立ち上がりテスト, 歩行速度, SPPB, 下腿周径, SARC-CalF</t>
        </is>
      </c>
      <c r="V138" s="3" t="inlineStr">
        <is>
          <t>認知機能, 握力</t>
        </is>
      </c>
      <c r="X138" s="3" t="inlineStr">
        <is>
          <t>実施していない</t>
        </is>
      </c>
      <c r="Y138" s="3" t="inlineStr">
        <is>
          <t>ロコチェックを使用している</t>
        </is>
      </c>
      <c r="Z138" s="3" t="inlineStr">
        <is>
          <t>Barthel Index（BI）, FIM</t>
        </is>
      </c>
      <c r="AB138" s="3" t="inlineStr">
        <is>
          <t>HDS-R</t>
        </is>
      </c>
      <c r="AD138" s="3" t="inlineStr">
        <is>
          <t>SPPB、Functional Reach Test（FRT）, 5回椅子立ち上がりテスト, 認知機能</t>
        </is>
      </c>
      <c r="AF138" s="3" t="inlineStr">
        <is>
          <t>決まっていない</t>
        </is>
      </c>
      <c r="AH138" s="3" t="inlineStr">
        <is>
          <t>転院、転棟前に実施</t>
        </is>
      </c>
      <c r="AI138" s="3" t="inlineStr">
        <is>
          <t>下肢筋力強化, バランス練習, 歩行練習, 歩容改善, 起立、着座動作練習, 環境調整, 補助具、装具の適正化, 認知面への介入, 行動面への介入, 教育、指導</t>
        </is>
      </c>
    </row>
    <row r="139" ht="22.5" customHeight="1">
      <c r="A139" s="32" t="n">
        <v>46098.64328604167</v>
      </c>
      <c r="B139" s="3" t="inlineStr">
        <is>
          <t>芝将希</t>
        </is>
      </c>
      <c r="C139" s="3" t="inlineStr">
        <is>
          <t>千船病院</t>
        </is>
      </c>
      <c r="D139" s="3" t="inlineStr">
        <is>
          <t>大阪府</t>
        </is>
      </c>
      <c r="E139" s="3" t="inlineStr">
        <is>
          <t>shiba.shouki@aijinkai-grope.com</t>
        </is>
      </c>
      <c r="F139" s="3" t="inlineStr">
        <is>
          <t>リハビリテーション科/理学療法士</t>
        </is>
      </c>
      <c r="G139" s="3" t="n">
        <v>156</v>
      </c>
      <c r="H139" s="3" t="n">
        <v>16</v>
      </c>
      <c r="I139" s="3" t="n">
        <v>3</v>
      </c>
      <c r="J139" s="3" t="inlineStr">
        <is>
          <t>現在、算定している</t>
        </is>
      </c>
      <c r="K139" s="3" t="inlineStr">
        <is>
          <t>関節可動域運動, 筋力増強運動, 自主運動指導, 術後リハビリテーションのオリエンテーション</t>
        </is>
      </c>
      <c r="L139" s="3" t="inlineStr">
        <is>
          <t>全症例の50％〜74％程度</t>
        </is>
      </c>
      <c r="N139" s="3" t="inlineStr">
        <is>
          <t>全症例の0％〜24％程度</t>
        </is>
      </c>
      <c r="P139" s="3" t="inlineStr">
        <is>
          <t>全症例の0％〜24％程度</t>
        </is>
      </c>
      <c r="R139" s="3" t="inlineStr">
        <is>
          <t>全症例の0％〜24％程度</t>
        </is>
      </c>
      <c r="T139" s="3" t="inlineStr">
        <is>
          <t>握力, 膝伸展筋力, 下腿周径</t>
        </is>
      </c>
      <c r="V139" s="3" t="inlineStr">
        <is>
          <t>認知機能, 握力</t>
        </is>
      </c>
      <c r="X139" s="3" t="inlineStr">
        <is>
          <t>実施していない</t>
        </is>
      </c>
      <c r="Z139" s="3" t="inlineStr">
        <is>
          <t>Barthel Index（BI）, FIM</t>
        </is>
      </c>
      <c r="AB139" s="3" t="inlineStr">
        <is>
          <t>MMSE, HDS-R, AMTS</t>
        </is>
      </c>
      <c r="AD139" s="3" t="inlineStr">
        <is>
          <t>定量的な下肢筋力測定, 認知機能, 過去の転倒歴</t>
        </is>
      </c>
      <c r="AF139" s="3" t="inlineStr">
        <is>
          <t>わからない</t>
        </is>
      </c>
      <c r="AI139" s="3" t="inlineStr">
        <is>
          <t>下肢筋力強化, バランス練習, 環境調整</t>
        </is>
      </c>
    </row>
    <row r="140" ht="22.5" customHeight="1">
      <c r="A140" s="32" t="n">
        <v>46098.66842820602</v>
      </c>
      <c r="B140" s="3" t="inlineStr">
        <is>
          <t>小松　裕和</t>
        </is>
      </c>
      <c r="C140" s="3" t="inlineStr">
        <is>
          <t>米沢市立病院</t>
        </is>
      </c>
      <c r="D140" s="3" t="inlineStr">
        <is>
          <t>山形県</t>
        </is>
      </c>
      <c r="E140" s="3" t="inlineStr">
        <is>
          <t>rehabili@yone-city-hp.jp</t>
        </is>
      </c>
      <c r="F140" s="3" t="inlineStr">
        <is>
          <t>リハビリテーション科／理学療法士</t>
        </is>
      </c>
      <c r="G140" s="3" t="n">
        <v>146</v>
      </c>
      <c r="H140" s="3" t="n">
        <v>3</v>
      </c>
      <c r="I140" s="3" t="n">
        <v>0</v>
      </c>
      <c r="J140" s="3" t="inlineStr">
        <is>
          <t>届け出はしていないが、現在検討中である</t>
        </is>
      </c>
      <c r="K140" s="3" t="inlineStr">
        <is>
          <t>実施していない</t>
        </is>
      </c>
      <c r="L140" s="3" t="inlineStr">
        <is>
          <t>全症例の25％〜49％程度</t>
        </is>
      </c>
      <c r="N140" s="3" t="inlineStr">
        <is>
          <t>全症例の25％〜49％程度</t>
        </is>
      </c>
      <c r="P140" s="3" t="inlineStr">
        <is>
          <t>全症例の0％〜24％程度</t>
        </is>
      </c>
      <c r="R140" s="3" t="inlineStr">
        <is>
          <t>全症例の0％〜24％程度</t>
        </is>
      </c>
      <c r="T140" s="3" t="inlineStr">
        <is>
          <t>実施していない</t>
        </is>
      </c>
      <c r="U140" s="3" t="inlineStr">
        <is>
          <t>術後2週で回復期病院へ転院するため</t>
        </is>
      </c>
      <c r="V140" s="3" t="inlineStr">
        <is>
          <t>実施していない</t>
        </is>
      </c>
      <c r="W140" s="3" t="inlineStr">
        <is>
          <t>術後2週で回復期病院へ転院するため</t>
        </is>
      </c>
      <c r="X140" s="3" t="inlineStr">
        <is>
          <t>実施していない</t>
        </is>
      </c>
      <c r="Y140" s="3" t="inlineStr">
        <is>
          <t>術後2週で回復期病院へ転院するため</t>
        </is>
      </c>
      <c r="Z140" s="3" t="inlineStr">
        <is>
          <t>Barthel Index（BI）</t>
        </is>
      </c>
      <c r="AB140" s="3" t="inlineStr">
        <is>
          <t>HDS-R</t>
        </is>
      </c>
      <c r="AD140" s="3" t="inlineStr">
        <is>
          <t>実施していない</t>
        </is>
      </c>
      <c r="AE140" s="3" t="inlineStr">
        <is>
          <t>院内で定められているものはない</t>
        </is>
      </c>
      <c r="AI140" s="3" t="inlineStr">
        <is>
          <t>下肢筋力強化, 歩行練習, 起立、着座動作練習</t>
        </is>
      </c>
    </row>
    <row r="141" ht="22.5" customHeight="1">
      <c r="A141" s="32" t="n">
        <v>46098.70566820602</v>
      </c>
      <c r="B141" s="3" t="inlineStr">
        <is>
          <t>左少　悠大</t>
        </is>
      </c>
      <c r="C141" s="3" t="inlineStr">
        <is>
          <t>津久見市医師会立津久見中央病院</t>
        </is>
      </c>
      <c r="D141" s="3" t="inlineStr">
        <is>
          <t>大分県</t>
        </is>
      </c>
      <c r="E141" s="3" t="inlineStr">
        <is>
          <t>reha-tch@tsukumi.oita.med.or.jp</t>
        </is>
      </c>
      <c r="F141" s="3" t="inlineStr">
        <is>
          <t>リハビリテーション科/理学療法士</t>
        </is>
      </c>
      <c r="G141" s="3" t="n">
        <v>19</v>
      </c>
      <c r="H141" s="3" t="n">
        <v>10</v>
      </c>
      <c r="I141" s="3" t="n">
        <v>7</v>
      </c>
      <c r="J141" s="3" t="inlineStr">
        <is>
          <t>届け出をしておらず、検討もしていない</t>
        </is>
      </c>
      <c r="K141" s="3" t="inlineStr">
        <is>
          <t>関節可動域運動, 筋力増強運動, DVT予防, リラクセーション, ポジショニング, 自主運動指導, 術後リハビリテーションのオリエンテーション</t>
        </is>
      </c>
      <c r="L141" s="3" t="inlineStr">
        <is>
          <t>全症例の75％〜100％程度</t>
        </is>
      </c>
      <c r="N141" s="3" t="inlineStr">
        <is>
          <t>全症例の0％〜24％程度</t>
        </is>
      </c>
      <c r="P141" s="3" t="inlineStr">
        <is>
          <t>全症例の0％〜24％程度</t>
        </is>
      </c>
      <c r="R141" s="3" t="inlineStr">
        <is>
          <t>全症例の0％〜24％程度</t>
        </is>
      </c>
      <c r="T141" s="3" t="inlineStr">
        <is>
          <t>握力, TUG, 開眼片脚立位時間</t>
        </is>
      </c>
      <c r="V141" s="3" t="inlineStr">
        <is>
          <t>TUG, 握力</t>
        </is>
      </c>
      <c r="X141" s="3" t="inlineStr">
        <is>
          <t>実施していない</t>
        </is>
      </c>
      <c r="Z141" s="3" t="inlineStr">
        <is>
          <t>Barthel Index（BI）, FIM</t>
        </is>
      </c>
      <c r="AB141" s="3" t="inlineStr">
        <is>
          <t>HDS-R, AMTS</t>
        </is>
      </c>
      <c r="AD141" s="3" t="inlineStr">
        <is>
          <t>開眼片脚立位時間, TUG, 認知機能</t>
        </is>
      </c>
      <c r="AF141" s="3" t="inlineStr">
        <is>
          <t>決まっている</t>
        </is>
      </c>
      <c r="AG141" s="3" t="inlineStr">
        <is>
          <t>術後2週間以内</t>
        </is>
      </c>
      <c r="AI141" s="3" t="inlineStr">
        <is>
          <t>下肢筋力強化, バランス練習, 歩行練習, 歩容改善, 起立、着座動作練習, 環境調整, 補助具、装具の適正化</t>
        </is>
      </c>
    </row>
    <row r="142" ht="22.5" customHeight="1">
      <c r="A142" s="32" t="n">
        <v>46098.70775971065</v>
      </c>
      <c r="B142" s="3" t="inlineStr">
        <is>
          <t>永井　康悟</t>
        </is>
      </c>
      <c r="C142" s="3" t="inlineStr">
        <is>
          <t>社会医療法人祐生会　みどりヶ丘病院</t>
        </is>
      </c>
      <c r="D142" s="3" t="inlineStr">
        <is>
          <t>大阪府</t>
        </is>
      </c>
      <c r="E142" s="3" t="inlineStr">
        <is>
          <t>rihabiri@midorigaoka.or.jp</t>
        </is>
      </c>
      <c r="F142" s="3" t="inlineStr">
        <is>
          <t>リハビリテーション部／理学療法士</t>
        </is>
      </c>
      <c r="G142" s="3" t="n">
        <v>200</v>
      </c>
      <c r="H142" s="3" t="n">
        <v>81</v>
      </c>
      <c r="I142" s="3" t="n">
        <v>21</v>
      </c>
      <c r="J142" s="3" t="inlineStr">
        <is>
          <t>現在、算定している</t>
        </is>
      </c>
      <c r="K142" s="3" t="inlineStr">
        <is>
          <t>関節可動域運動, 筋力増強運動, DVT予防, ポジショニング, 自主運動指導, 術後リハビリテーションのオリエンテーション, 離床（例：車椅子移乗,立位,歩行など）</t>
        </is>
      </c>
      <c r="L142" s="3" t="inlineStr">
        <is>
          <t>全症例の25％〜49％程度</t>
        </is>
      </c>
      <c r="N142" s="3" t="inlineStr">
        <is>
          <t>全症例の25％〜49％程度</t>
        </is>
      </c>
      <c r="P142" s="3" t="inlineStr">
        <is>
          <t>全症例の0％〜24％程度</t>
        </is>
      </c>
      <c r="R142" s="3" t="inlineStr">
        <is>
          <t>全症例の0％〜24％程度</t>
        </is>
      </c>
      <c r="T142" s="3" t="inlineStr">
        <is>
          <t>握力, 歩行速度, TUG, 四肢骨格筋量（ASM）, 下腿周径</t>
        </is>
      </c>
      <c r="V142" s="3" t="inlineStr">
        <is>
          <t>TUG, 認知機能, 抑うつや意欲低下, 握力</t>
        </is>
      </c>
      <c r="X142" s="3" t="inlineStr">
        <is>
          <t>立ち上がりテスト, 2ステップテスト</t>
        </is>
      </c>
      <c r="Z142" s="3" t="inlineStr">
        <is>
          <t>Barthel Index（BI）, FIM</t>
        </is>
      </c>
      <c r="AB142" s="3" t="inlineStr">
        <is>
          <t>HDS-R, AMTS</t>
        </is>
      </c>
      <c r="AD142" s="3" t="inlineStr">
        <is>
          <t>開眼片脚立位時間, 認知機能, 過去の転倒歴</t>
        </is>
      </c>
      <c r="AF142" s="3" t="inlineStr">
        <is>
          <t>決まっている</t>
        </is>
      </c>
      <c r="AG142" s="3" t="inlineStr">
        <is>
          <t>術後1週間以内</t>
        </is>
      </c>
      <c r="AI142" s="3" t="inlineStr">
        <is>
          <t>下肢筋力強化, バランス練習, 歩行練習, 歩容改善, 起立、着座動作練習, 環境調整, 補助具、装具の適正化, 認知面への介入, 行動面への介入, 教育、指導</t>
        </is>
      </c>
    </row>
    <row r="143" ht="22.5" customHeight="1">
      <c r="A143" s="32" t="n">
        <v>46098.71033413195</v>
      </c>
      <c r="B143" s="3" t="inlineStr">
        <is>
          <t>西尾　順子</t>
        </is>
      </c>
      <c r="C143" s="3" t="inlineStr">
        <is>
          <t>医療法人社団新風会　玉島中央病院</t>
        </is>
      </c>
      <c r="D143" s="3" t="inlineStr">
        <is>
          <t>岡山県</t>
        </is>
      </c>
      <c r="E143" s="3" t="inlineStr">
        <is>
          <t>rehabili@tamashima-ch.or.jp</t>
        </is>
      </c>
      <c r="F143" s="3" t="inlineStr">
        <is>
          <t>リハビリテーション課／理学療法士</t>
        </is>
      </c>
      <c r="G143" s="3" t="n">
        <v>105</v>
      </c>
      <c r="H143" s="3" t="n">
        <v>37</v>
      </c>
      <c r="I143" s="3" t="n">
        <v>12</v>
      </c>
      <c r="J143" s="3" t="inlineStr">
        <is>
          <t>現在、算定している</t>
        </is>
      </c>
      <c r="K143" s="3" t="inlineStr">
        <is>
          <t>関節可動域運動, 筋力増強運動, ポジショニング</t>
        </is>
      </c>
      <c r="L143" s="3" t="inlineStr">
        <is>
          <t>全症例の25％〜49％程度</t>
        </is>
      </c>
      <c r="N143" s="3" t="inlineStr">
        <is>
          <t>全症例の0％〜24％程度</t>
        </is>
      </c>
      <c r="P143" s="3" t="inlineStr">
        <is>
          <t>全症例の25％〜49％程度</t>
        </is>
      </c>
      <c r="R143" s="3" t="inlineStr">
        <is>
          <t>全症例の0％〜24％程度</t>
        </is>
      </c>
      <c r="T143" s="3" t="inlineStr">
        <is>
          <t>握力, 膝伸展筋力, 歩行速度, TUG, 下腿周径, 各担当者に委ねており、一部のスタッフのみ行っている</t>
        </is>
      </c>
      <c r="V143" s="3" t="inlineStr">
        <is>
          <t>TUG, 握力, 各担当者に委ねており、一部のスタッフのみ行っている</t>
        </is>
      </c>
      <c r="X143" s="3" t="inlineStr">
        <is>
          <t>実施していない</t>
        </is>
      </c>
      <c r="Y143" s="3" t="inlineStr">
        <is>
          <t>ロコモティブシンドロームに対する認識が低いため</t>
        </is>
      </c>
      <c r="Z143" s="3" t="inlineStr">
        <is>
          <t>Barthel Index（BI）, FIM</t>
        </is>
      </c>
      <c r="AB143" s="3" t="inlineStr">
        <is>
          <t>MMSE, HDS-R, mini-cog</t>
        </is>
      </c>
      <c r="AD143" s="3" t="inlineStr">
        <is>
          <t>ベッド周囲および病室環境</t>
        </is>
      </c>
      <c r="AF143" s="3" t="inlineStr">
        <is>
          <t>決まっていない</t>
        </is>
      </c>
      <c r="AH143" s="3" t="inlineStr">
        <is>
          <t>ベッド周囲の環境評価は入棟時や部屋移動時、歩行形態が変わったときなどその都度行っているため</t>
        </is>
      </c>
      <c r="AI143" s="3" t="inlineStr">
        <is>
          <t>下肢筋力強化, バランス練習, 歩行練習, 歩容改善, 起立、着座動作練習, 環境調整, 補助具、装具の適正化, 行動面への介入, 教育、指導</t>
        </is>
      </c>
    </row>
    <row r="144" ht="22.5" customHeight="1">
      <c r="A144" s="32" t="n">
        <v>46098.71708581018</v>
      </c>
      <c r="B144" s="3" t="inlineStr">
        <is>
          <t>赤坂康志</t>
        </is>
      </c>
      <c r="C144" s="3" t="inlineStr">
        <is>
          <t>岩手県立中部病院</t>
        </is>
      </c>
      <c r="D144" s="3" t="inlineStr">
        <is>
          <t>岩手県</t>
        </is>
      </c>
      <c r="E144" s="3" t="inlineStr">
        <is>
          <t>yasushi-akasaka@pref.iwate.jp</t>
        </is>
      </c>
      <c r="F144" s="3" t="inlineStr">
        <is>
          <t>リハビリテーション技術科／理学療法士</t>
        </is>
      </c>
      <c r="G144" s="3" t="n">
        <v>114</v>
      </c>
      <c r="H144" s="3" t="n">
        <v>10</v>
      </c>
      <c r="I144" s="3" t="n">
        <v>2</v>
      </c>
      <c r="J144" s="3" t="inlineStr">
        <is>
          <t>届け出をしておらず、検討もしていない</t>
        </is>
      </c>
      <c r="K144" s="3" t="inlineStr">
        <is>
          <t>実施していない</t>
        </is>
      </c>
      <c r="L144" s="3" t="inlineStr">
        <is>
          <t>全症例の0％〜24％程度</t>
        </is>
      </c>
      <c r="N144" s="3" t="inlineStr">
        <is>
          <t>全症例の0％〜24％程度</t>
        </is>
      </c>
      <c r="P144" s="3" t="inlineStr">
        <is>
          <t>全症例の0％〜24％程度</t>
        </is>
      </c>
      <c r="R144" s="3" t="inlineStr">
        <is>
          <t>全症例の0％〜24％程度</t>
        </is>
      </c>
      <c r="T144" s="3" t="inlineStr">
        <is>
          <t>実施していない</t>
        </is>
      </c>
      <c r="U144" s="3" t="inlineStr">
        <is>
          <t>急性期から回復期への転院が多く離床が主目的となるため</t>
        </is>
      </c>
      <c r="V144" s="3" t="inlineStr">
        <is>
          <t>実施していない</t>
        </is>
      </c>
      <c r="W144" s="3" t="inlineStr">
        <is>
          <t>急性期から回復期への転院が多く離床が主目的となるため</t>
        </is>
      </c>
      <c r="X144" s="3" t="inlineStr">
        <is>
          <t>実施していない</t>
        </is>
      </c>
      <c r="Y144" s="3" t="inlineStr">
        <is>
          <t>急性期から回復期への転院が多く離床が主目的となるため</t>
        </is>
      </c>
      <c r="Z144" s="3" t="inlineStr">
        <is>
          <t>Barthel Index（BI）, FIM</t>
        </is>
      </c>
      <c r="AB144" s="3" t="inlineStr">
        <is>
          <t>HDS-R</t>
        </is>
      </c>
      <c r="AD144" s="3" t="inlineStr">
        <is>
          <t>実施していない</t>
        </is>
      </c>
      <c r="AE144" s="3" t="inlineStr">
        <is>
          <t>転倒転落カンファレンスは実施しているが、FLS活動としては機能していないため</t>
        </is>
      </c>
      <c r="AI144" s="3" t="inlineStr">
        <is>
          <t>下肢筋力強化, バランス練習, 起立、着座動作練習, 環境調整, 行動面への介入, 教育、指導</t>
        </is>
      </c>
    </row>
    <row r="145" ht="22.5" customHeight="1">
      <c r="A145" s="32" t="n">
        <v>46098.73230540509</v>
      </c>
      <c r="B145" s="3" t="inlineStr">
        <is>
          <t>清永健治</t>
        </is>
      </c>
      <c r="C145" s="3" t="inlineStr">
        <is>
          <t>社会福祉法人友志会石橋総合病院</t>
        </is>
      </c>
      <c r="D145" s="3" t="inlineStr">
        <is>
          <t>栃木県</t>
        </is>
      </c>
      <c r="E145" s="3" t="inlineStr">
        <is>
          <t>kenji_kiyokiyo@yahoo.co.jp</t>
        </is>
      </c>
      <c r="G145" s="3" t="n">
        <v>75</v>
      </c>
      <c r="H145" s="3" t="n">
        <v>12</v>
      </c>
      <c r="I145" s="3" t="n">
        <v>4</v>
      </c>
      <c r="J145" s="3" t="inlineStr">
        <is>
          <t>届け出をしておらず、検討もしていない</t>
        </is>
      </c>
      <c r="K145" s="3" t="inlineStr">
        <is>
          <t>関節可動域運動, 筋力増強運動, DVT予防, ポジショニング, 離床（例：車椅子移乗,立位,歩行など）</t>
        </is>
      </c>
      <c r="L145" s="3" t="inlineStr">
        <is>
          <t>全症例の75％〜100％程度</t>
        </is>
      </c>
      <c r="M145" s="3" t="inlineStr">
        <is>
          <t>筋のリラクゼーション後に立位練習、介助量を増やす</t>
        </is>
      </c>
      <c r="N145" s="3" t="inlineStr">
        <is>
          <t>全症例の50％〜74％程度</t>
        </is>
      </c>
      <c r="O145" s="3" t="inlineStr">
        <is>
          <t>傾聴、コミュニケーションをしっかりとる。</t>
        </is>
      </c>
      <c r="P145" s="3" t="inlineStr">
        <is>
          <t>全症例の25％〜49％程度</t>
        </is>
      </c>
      <c r="R145" s="3" t="inlineStr">
        <is>
          <t>全症例の0％〜24％程度</t>
        </is>
      </c>
      <c r="T145" s="3" t="inlineStr">
        <is>
          <t>実施していない</t>
        </is>
      </c>
      <c r="U145" s="3" t="inlineStr">
        <is>
          <t>評価する体制が確立していない。</t>
        </is>
      </c>
      <c r="V145" s="3" t="inlineStr">
        <is>
          <t>実施していない</t>
        </is>
      </c>
      <c r="W145" s="3" t="inlineStr">
        <is>
          <t>知識不足</t>
        </is>
      </c>
      <c r="X145" s="3" t="inlineStr">
        <is>
          <t>実施していない</t>
        </is>
      </c>
      <c r="Y145" s="3" t="inlineStr">
        <is>
          <t>重要視していなかった。</t>
        </is>
      </c>
      <c r="Z145" s="3" t="inlineStr">
        <is>
          <t>Barthel Index（BI）, FIM</t>
        </is>
      </c>
      <c r="AB145" s="3" t="inlineStr">
        <is>
          <t>MMSE, HDS-R</t>
        </is>
      </c>
      <c r="AD145" s="3" t="inlineStr">
        <is>
          <t>10m歩行速度, Berg Balance Scale（BBS）</t>
        </is>
      </c>
      <c r="AF145" s="3" t="inlineStr">
        <is>
          <t>決まっていない</t>
        </is>
      </c>
      <c r="AH145" s="3" t="inlineStr">
        <is>
          <t>異動形態変更時に実施するため</t>
        </is>
      </c>
      <c r="AI145" s="3" t="inlineStr">
        <is>
          <t>下肢筋力強化, バランス練習, 歩行練習, 歩容改善, 起立、着座動作練習, 環境調整, 教育、指導</t>
        </is>
      </c>
    </row>
    <row r="146" ht="22.5" customHeight="1">
      <c r="A146" s="32" t="n">
        <v>46098.76908439815</v>
      </c>
      <c r="B146" s="3" t="inlineStr">
        <is>
          <t>伊藤大輔</t>
        </is>
      </c>
      <c r="C146" s="3" t="inlineStr">
        <is>
          <t>一宮市立市民病院</t>
        </is>
      </c>
      <c r="D146" s="3" t="inlineStr">
        <is>
          <t>愛知県</t>
        </is>
      </c>
      <c r="E146" s="3" t="inlineStr">
        <is>
          <t>dit0821@gmail.com</t>
        </is>
      </c>
      <c r="F146" s="3" t="inlineStr">
        <is>
          <t>リハビリテーション室/理学療法士</t>
        </is>
      </c>
      <c r="G146" s="3" t="n">
        <v>188</v>
      </c>
      <c r="H146" s="3" t="n">
        <v>4</v>
      </c>
      <c r="I146" s="3" t="n">
        <v>0</v>
      </c>
      <c r="J146" s="3" t="inlineStr">
        <is>
          <t>届け出をしておらず、検討もしていない</t>
        </is>
      </c>
      <c r="K146" s="3" t="inlineStr">
        <is>
          <t>関節可動域運動, 筋力増強運動, DVT予防, 自主運動指導, 術後リハビリテーションのオリエンテーション, 離床（例：車椅子移乗,立位,歩行など）</t>
        </is>
      </c>
      <c r="L146" s="3" t="inlineStr">
        <is>
          <t>全症例の50％〜74％程度</t>
        </is>
      </c>
      <c r="M146" s="3" t="inlineStr">
        <is>
          <t>手すり等の工夫</t>
        </is>
      </c>
      <c r="N146" s="3" t="inlineStr">
        <is>
          <t>全症例の25％〜49％程度</t>
        </is>
      </c>
      <c r="P146" s="3" t="inlineStr">
        <is>
          <t>全症例の0％〜24％程度</t>
        </is>
      </c>
      <c r="R146" s="3" t="inlineStr">
        <is>
          <t>全症例の0％〜24％程度</t>
        </is>
      </c>
      <c r="T146" s="3" t="inlineStr">
        <is>
          <t>握力, 下腿周径</t>
        </is>
      </c>
      <c r="V146" s="3" t="inlineStr">
        <is>
          <t>実施していない</t>
        </is>
      </c>
      <c r="X146" s="3" t="inlineStr">
        <is>
          <t>ロコチェック</t>
        </is>
      </c>
      <c r="Z146" s="3" t="inlineStr">
        <is>
          <t>Barthel Index（BI）</t>
        </is>
      </c>
      <c r="AB146" s="3" t="inlineStr">
        <is>
          <t>HDS-R, AMTS</t>
        </is>
      </c>
      <c r="AD146" s="3" t="inlineStr">
        <is>
          <t>過去の転倒歴, 既往疾患の有無（脳血管疾患、パーキンソン病など）, 薬剤（向精神薬、降圧薬、利尿薬、ポリファーマシーなど）, ベッド周囲および病室環境, 転倒転落アセスメントシート</t>
        </is>
      </c>
      <c r="AF146" s="3" t="inlineStr">
        <is>
          <t>決まっている</t>
        </is>
      </c>
      <c r="AG146" s="3" t="inlineStr">
        <is>
          <t>術前、もしくは術後1日目</t>
        </is>
      </c>
      <c r="AI146" s="3" t="inlineStr">
        <is>
          <t>下肢筋力強化, バランス練習, 歩行練習, 起立、着座動作練習, 環境調整, 補助具、装具の適正化, 教育、指導</t>
        </is>
      </c>
    </row>
    <row r="147" ht="22.5" customHeight="1">
      <c r="A147" s="32" t="n">
        <v>46098.77301182871</v>
      </c>
      <c r="B147" s="3" t="inlineStr">
        <is>
          <t>佐藤　英子</t>
        </is>
      </c>
      <c r="C147" s="3" t="inlineStr">
        <is>
          <t>社会医療法人　第一東和会病院</t>
        </is>
      </c>
      <c r="D147" s="3" t="inlineStr">
        <is>
          <t>大阪府</t>
        </is>
      </c>
      <c r="E147" s="3" t="inlineStr">
        <is>
          <t>a.takeda@towa-med.or.jp</t>
        </is>
      </c>
      <c r="F147" s="3" t="inlineStr">
        <is>
          <t>診療技術・リハビリテーション部／リハビリテーション科／理学療法士</t>
        </is>
      </c>
      <c r="G147" s="3" t="n">
        <v>200</v>
      </c>
      <c r="H147" s="3" t="n">
        <v>27</v>
      </c>
      <c r="I147" s="3" t="n">
        <v>5</v>
      </c>
      <c r="J147" s="3" t="inlineStr">
        <is>
          <t>現在、算定している</t>
        </is>
      </c>
      <c r="K147" s="3" t="inlineStr">
        <is>
          <t>実施していない</t>
        </is>
      </c>
      <c r="L147" s="3" t="inlineStr">
        <is>
          <t>全症例の0％〜24％程度</t>
        </is>
      </c>
      <c r="N147" s="3" t="inlineStr">
        <is>
          <t>全症例の25％〜49％程度</t>
        </is>
      </c>
      <c r="P147" s="3" t="inlineStr">
        <is>
          <t>全症例の0％〜24％程度</t>
        </is>
      </c>
      <c r="R147" s="3" t="inlineStr">
        <is>
          <t>全症例の0％〜24％程度</t>
        </is>
      </c>
      <c r="T147" s="3" t="inlineStr">
        <is>
          <t>握力, 膝伸展筋力, 5回椅子立ち上がりテスト, 歩行速度, TUG, 開眼片脚立位時間, 下腿周径</t>
        </is>
      </c>
      <c r="V147" s="3" t="inlineStr">
        <is>
          <t>TUG, 認知機能, 握力</t>
        </is>
      </c>
      <c r="X147" s="3" t="inlineStr">
        <is>
          <t>立ち上がりテスト</t>
        </is>
      </c>
      <c r="Z147" s="3" t="inlineStr">
        <is>
          <t>Barthel Index（BI）</t>
        </is>
      </c>
      <c r="AB147" s="3" t="inlineStr">
        <is>
          <t>MMSE, HDS-R</t>
        </is>
      </c>
      <c r="AD147" s="3" t="inlineStr">
        <is>
          <t>実施していない</t>
        </is>
      </c>
      <c r="AE147" s="3" t="inlineStr">
        <is>
          <t>FLS活動をまだ行っていないため</t>
        </is>
      </c>
      <c r="AI147" s="3" t="inlineStr">
        <is>
          <t>下肢筋力強化, バランス練習, 歩行練習, 歩容改善, 起立、着座動作練習, 環境調整, 補助具、装具の適正化, 認知面への介入, 行動面への介入, 教育、指導</t>
        </is>
      </c>
    </row>
    <row r="148" ht="22.5" customHeight="1">
      <c r="A148" s="32" t="n">
        <v>46098.82519471065</v>
      </c>
      <c r="B148" s="3" t="inlineStr">
        <is>
          <t>村上　友信</t>
        </is>
      </c>
      <c r="C148" s="3" t="inlineStr">
        <is>
          <t>社会医療法人　陽明会　小波瀬病院</t>
        </is>
      </c>
      <c r="D148" s="3" t="inlineStr">
        <is>
          <t>福岡県</t>
        </is>
      </c>
      <c r="E148" s="3" t="inlineStr">
        <is>
          <t>riha-shirakawa@youmeikai.jp</t>
        </is>
      </c>
      <c r="F148" s="3" t="inlineStr">
        <is>
          <t>リハビリテーション科／理学療法士</t>
        </is>
      </c>
      <c r="G148" s="3" t="n">
        <v>72</v>
      </c>
      <c r="H148" s="3" t="n">
        <v>25</v>
      </c>
      <c r="I148" s="3" t="n">
        <v>10</v>
      </c>
      <c r="J148" s="3" t="inlineStr">
        <is>
          <t>届け出はしていないが、現在検討中である</t>
        </is>
      </c>
      <c r="K148" s="3" t="inlineStr">
        <is>
          <t>関節可動域運動, 筋力増強運動, 呼吸リハビリテーション, DVT予防, ポジショニング, 自主運動指導, 術後リハビリテーションのオリエンテーション</t>
        </is>
      </c>
      <c r="L148" s="3" t="inlineStr">
        <is>
          <t>全症例の25％〜49％程度</t>
        </is>
      </c>
      <c r="N148" s="3" t="inlineStr">
        <is>
          <t>全症例の0％〜24％程度</t>
        </is>
      </c>
      <c r="P148" s="3" t="inlineStr">
        <is>
          <t>全症例の0％〜24％程度</t>
        </is>
      </c>
      <c r="R148" s="3" t="inlineStr">
        <is>
          <t>全症例の0％〜24％程度</t>
        </is>
      </c>
      <c r="T148" s="3" t="inlineStr">
        <is>
          <t>膝伸展筋力, 歩行速度, TUG, 開眼片脚立位時間, 下腿周径</t>
        </is>
      </c>
      <c r="V148" s="3" t="inlineStr">
        <is>
          <t>TUG, 認知機能</t>
        </is>
      </c>
      <c r="X148" s="3" t="inlineStr">
        <is>
          <t>立ち上がりテスト, 2ステップテスト, ロコモ25（質問票）</t>
        </is>
      </c>
      <c r="Z148" s="3" t="inlineStr">
        <is>
          <t>Barthel Index（BI）, FIM</t>
        </is>
      </c>
      <c r="AB148" s="3" t="inlineStr">
        <is>
          <t>MMSE, HDS-R</t>
        </is>
      </c>
      <c r="AD148" s="3" t="inlineStr">
        <is>
          <t>定量的な下肢筋力測定, 開眼片脚立位時間, 10m歩行速度, Berg Balance Scale（BBS）, SPPB、Functional Reach Test（FRT）, 認知機能, 既往疾患の有無（脳血管疾患、パーキンソン病など）, ベッド周囲および病室環境</t>
        </is>
      </c>
      <c r="AF148" s="3" t="inlineStr">
        <is>
          <t>決まっている</t>
        </is>
      </c>
      <c r="AG148" s="3" t="inlineStr">
        <is>
          <t>歩行車/歩行器歩行や杖歩行の自立を検討する時期に実施</t>
        </is>
      </c>
      <c r="AI148" s="3" t="inlineStr">
        <is>
          <t>下肢筋力強化, バランス練習, 歩行練習, 歩容改善, 起立、着座動作練習, 環境調整, 補助具、装具の適正化, 認知面への介入, 行動面への介入</t>
        </is>
      </c>
    </row>
    <row r="149" ht="22.5" customHeight="1">
      <c r="A149" s="32" t="n">
        <v>46098.84379185185</v>
      </c>
      <c r="B149" s="3" t="inlineStr">
        <is>
          <t>島田　美紀代</t>
        </is>
      </c>
      <c r="C149" s="3" t="inlineStr">
        <is>
          <t>愛知県厚生農業協同組合連合会　稲沢厚生病院</t>
        </is>
      </c>
      <c r="D149" s="3" t="inlineStr">
        <is>
          <t>愛知県</t>
        </is>
      </c>
      <c r="E149" s="3" t="inlineStr">
        <is>
          <t>ijika@inazawa.jaaikosei.or.jp</t>
        </is>
      </c>
      <c r="F149" s="3" t="inlineStr">
        <is>
          <t>リハビリテーション室/作業療法士</t>
        </is>
      </c>
      <c r="G149" s="3" t="n">
        <v>96</v>
      </c>
      <c r="H149" s="3" t="n">
        <v>9</v>
      </c>
      <c r="I149" s="3" t="n">
        <v>6</v>
      </c>
      <c r="J149" s="3" t="inlineStr">
        <is>
          <t>届け出をしておらず、検討もしていない</t>
        </is>
      </c>
      <c r="K149" s="3" t="inlineStr">
        <is>
          <t>関節可動域運動, 筋力増強運動, DVT予防, 自主運動指導</t>
        </is>
      </c>
      <c r="L149" s="3" t="inlineStr">
        <is>
          <t>全症例の25％〜49％程度</t>
        </is>
      </c>
      <c r="N149" s="3" t="inlineStr">
        <is>
          <t>全症例の25％〜49％程度</t>
        </is>
      </c>
      <c r="P149" s="3" t="inlineStr">
        <is>
          <t>全症例の0％〜24％程度</t>
        </is>
      </c>
      <c r="R149" s="3" t="inlineStr">
        <is>
          <t>全症例の0％〜24％程度</t>
        </is>
      </c>
      <c r="T149" s="3" t="inlineStr">
        <is>
          <t>握力, 5回椅子立ち上がりテスト, SPPB, TUG, 下腿周径</t>
        </is>
      </c>
      <c r="V149" s="3" t="inlineStr">
        <is>
          <t>TUG, 握力</t>
        </is>
      </c>
      <c r="X149" s="3" t="inlineStr">
        <is>
          <t>立ち上がりテスト</t>
        </is>
      </c>
      <c r="Z149" s="3" t="inlineStr">
        <is>
          <t>Barthel Index（BI）, FIM</t>
        </is>
      </c>
      <c r="AB149" s="3" t="inlineStr">
        <is>
          <t>MMSE, HDS-R</t>
        </is>
      </c>
      <c r="AD149" s="3" t="inlineStr">
        <is>
          <t>入退院時の移動介助量の評価</t>
        </is>
      </c>
      <c r="AF149" s="3" t="inlineStr">
        <is>
          <t>決まっている</t>
        </is>
      </c>
      <c r="AG149" s="3" t="inlineStr">
        <is>
          <t>具体的な日数ではないが、1か月程度を目処に評価している。</t>
        </is>
      </c>
      <c r="AI149" s="3" t="inlineStr">
        <is>
          <t>下肢筋力強化, 歩行練習, 起立、着座動作練習, 教育、指導</t>
        </is>
      </c>
    </row>
    <row r="150" ht="22.5" customHeight="1">
      <c r="A150" s="32" t="n">
        <v>46099.25498662037</v>
      </c>
      <c r="B150" s="3" t="inlineStr">
        <is>
          <t>下川翔平</t>
        </is>
      </c>
      <c r="C150" s="3" t="inlineStr">
        <is>
          <t>医療法人社団愛友会　伊奈病院</t>
        </is>
      </c>
      <c r="D150" s="3" t="inlineStr">
        <is>
          <t>埼玉県</t>
        </is>
      </c>
      <c r="E150" s="3" t="inlineStr">
        <is>
          <t>s_shimokawa@inahp.saitama.jp</t>
        </is>
      </c>
      <c r="F150" s="3" t="inlineStr">
        <is>
          <t>リハビリテーション技術科/理学療法士</t>
        </is>
      </c>
      <c r="G150" s="3" t="n">
        <v>124</v>
      </c>
      <c r="H150" s="3" t="n">
        <v>20</v>
      </c>
      <c r="I150" s="3" t="n">
        <v>8</v>
      </c>
      <c r="J150" s="3" t="inlineStr">
        <is>
          <t>現在、算定している</t>
        </is>
      </c>
      <c r="K150" s="3" t="inlineStr">
        <is>
          <t>関節可動域運動, 筋力増強運動, 呼吸リハビリテーション, DVT予防, リラクセーション, ポジショニング, 自主運動指導, 術後リハビリテーションのオリエンテーション</t>
        </is>
      </c>
      <c r="L150" s="3" t="inlineStr">
        <is>
          <t>全症例の0％〜24％程度</t>
        </is>
      </c>
      <c r="N150" s="3" t="inlineStr">
        <is>
          <t>全症例の0％〜24％程度</t>
        </is>
      </c>
      <c r="P150" s="3" t="inlineStr">
        <is>
          <t>全症例の0％〜24％程度</t>
        </is>
      </c>
      <c r="R150" s="3" t="inlineStr">
        <is>
          <t>全症例の0％〜24％程度</t>
        </is>
      </c>
      <c r="T150" s="3" t="inlineStr">
        <is>
          <t>実施していない</t>
        </is>
      </c>
      <c r="U150" s="3" t="inlineStr">
        <is>
          <t>ルーティン化した評価はなし。個人によってばらつきあり。</t>
        </is>
      </c>
      <c r="V150" s="3" t="inlineStr">
        <is>
          <t>実施していない</t>
        </is>
      </c>
      <c r="W150" s="3" t="inlineStr">
        <is>
          <t>ルーティン化した評価はなし。個人によってばらつきあり。</t>
        </is>
      </c>
      <c r="X150" s="3" t="inlineStr">
        <is>
          <t>実施していない</t>
        </is>
      </c>
      <c r="Y150" s="3" t="inlineStr">
        <is>
          <t>ルーティン化した評価はなし。個人によってばらつきあり。</t>
        </is>
      </c>
      <c r="Z150" s="3" t="inlineStr">
        <is>
          <t>Barthel Index（BI）</t>
        </is>
      </c>
      <c r="AB150" s="3" t="inlineStr">
        <is>
          <t>HDS-R</t>
        </is>
      </c>
      <c r="AD150" s="3" t="inlineStr">
        <is>
          <t>認知機能</t>
        </is>
      </c>
      <c r="AF150" s="3" t="inlineStr">
        <is>
          <t>決まっていない</t>
        </is>
      </c>
      <c r="AH150" s="3" t="inlineStr">
        <is>
          <t>特になし</t>
        </is>
      </c>
      <c r="AI150" s="3" t="inlineStr">
        <is>
          <t>下肢筋力強化, バランス練習, 歩行練習, 歩容改善, 起立、着座動作練習, 環境調整, 補助具、装具の適正化, 認知面への介入, 行動面への介入, 教育、指導</t>
        </is>
      </c>
    </row>
    <row r="151" ht="22.5" customHeight="1">
      <c r="A151" s="32" t="n">
        <v>46099.3645168287</v>
      </c>
      <c r="B151" s="3" t="inlineStr">
        <is>
          <t>田辺理恵</t>
        </is>
      </c>
      <c r="C151" s="3" t="inlineStr">
        <is>
          <t>国際医療福祉大学三田病院</t>
        </is>
      </c>
      <c r="D151" s="3" t="inlineStr">
        <is>
          <t>東京都</t>
        </is>
      </c>
      <c r="E151" s="3" t="inlineStr">
        <is>
          <t>rie.tanabe.pt@ihwg.jp</t>
        </is>
      </c>
      <c r="F151" s="3" t="inlineStr">
        <is>
          <t>リハビリテーション室　理学療法士</t>
        </is>
      </c>
      <c r="G151" s="3" t="n">
        <v>57</v>
      </c>
      <c r="H151" s="3" t="n">
        <v>15</v>
      </c>
      <c r="I151" s="3" t="n">
        <v>9</v>
      </c>
      <c r="J151" s="3" t="inlineStr">
        <is>
          <t>現在、算定している</t>
        </is>
      </c>
      <c r="K151" s="3" t="inlineStr">
        <is>
          <t>関節可動域運動, 筋力増強運動, 術後リハビリテーションのオリエンテーション</t>
        </is>
      </c>
      <c r="L151" s="3" t="inlineStr">
        <is>
          <t>全症例の75％〜100％程度</t>
        </is>
      </c>
      <c r="M151" s="3" t="inlineStr">
        <is>
          <t xml:space="preserve">クーリング　</t>
        </is>
      </c>
      <c r="N151" s="3" t="inlineStr">
        <is>
          <t>全症例の50％〜74％程度</t>
        </is>
      </c>
      <c r="O151" s="3" t="inlineStr">
        <is>
          <t>看護師による頻回な離床、声掛け　投薬コントロール</t>
        </is>
      </c>
      <c r="P151" s="3" t="inlineStr">
        <is>
          <t>全症例の25％〜49％程度</t>
        </is>
      </c>
      <c r="R151" s="3" t="inlineStr">
        <is>
          <t>全症例の0％〜24％程度</t>
        </is>
      </c>
      <c r="T151" s="3" t="inlineStr">
        <is>
          <t>握力, 5回椅子立ち上がりテスト, 歩行速度, TUG, 6分間歩行距離</t>
        </is>
      </c>
      <c r="V151" s="3" t="inlineStr">
        <is>
          <t>TUG, 6分間歩行距離, 握力</t>
        </is>
      </c>
      <c r="X151" s="3" t="inlineStr">
        <is>
          <t>立ち上がりテスト</t>
        </is>
      </c>
      <c r="Z151" s="3" t="inlineStr">
        <is>
          <t>Barthel Index（BI）, FIM</t>
        </is>
      </c>
      <c r="AB151" s="3" t="inlineStr">
        <is>
          <t>MMSE, HDS-R</t>
        </is>
      </c>
      <c r="AD151" s="3" t="inlineStr">
        <is>
          <t>定量的な下肢筋力測定, 開眼片脚立位時間, TUG, 10m歩行速度, 5回椅子立ち上がりテスト</t>
        </is>
      </c>
      <c r="AF151" s="3" t="inlineStr">
        <is>
          <t>決まっていない</t>
        </is>
      </c>
      <c r="AH151" s="3" t="inlineStr">
        <is>
          <t>各セラピストの評価に準じている</t>
        </is>
      </c>
      <c r="AI151" s="3" t="inlineStr">
        <is>
          <t>下肢筋力強化, バランス練習, 歩行練習, 環境調整, 認知面への介入, 行動面への介入</t>
        </is>
      </c>
    </row>
    <row r="152" ht="22.5" customHeight="1">
      <c r="A152" s="32" t="n">
        <v>46099.37960371528</v>
      </c>
      <c r="B152" s="3" t="inlineStr">
        <is>
          <t>小田優貴</t>
        </is>
      </c>
      <c r="C152" s="3" t="inlineStr">
        <is>
          <t>新潟厚生連　新潟医療センター</t>
        </is>
      </c>
      <c r="D152" s="3" t="inlineStr">
        <is>
          <t>新潟県</t>
        </is>
      </c>
      <c r="E152" s="3" t="inlineStr">
        <is>
          <t>reha@niigata-medical.jp</t>
        </is>
      </c>
      <c r="G152" s="3" t="n">
        <v>147</v>
      </c>
      <c r="H152" s="3" t="n">
        <v>14</v>
      </c>
      <c r="I152" s="3" t="n">
        <v>7</v>
      </c>
      <c r="J152" s="3" t="inlineStr">
        <is>
          <t>届け出をしておらず、検討もしていない</t>
        </is>
      </c>
      <c r="K152" s="3" t="inlineStr">
        <is>
          <t>関節可動域運動, 筋力増強運動, DVT予防, リラクセーション, ポジショニング</t>
        </is>
      </c>
      <c r="L152" s="3" t="inlineStr">
        <is>
          <t>全症例の0％〜24％程度</t>
        </is>
      </c>
      <c r="N152" s="3" t="inlineStr">
        <is>
          <t>全症例の0％〜24％程度</t>
        </is>
      </c>
      <c r="P152" s="3" t="inlineStr">
        <is>
          <t>全症例の0％〜24％程度</t>
        </is>
      </c>
      <c r="R152" s="3" t="inlineStr">
        <is>
          <t>全症例の0％〜24％程度</t>
        </is>
      </c>
      <c r="T152" s="3" t="inlineStr">
        <is>
          <t>握力, 骨格筋量指数（SMI）, 下腿周径</t>
        </is>
      </c>
      <c r="V152" s="3" t="inlineStr">
        <is>
          <t>認知機能, 握力</t>
        </is>
      </c>
      <c r="X152" s="3" t="inlineStr">
        <is>
          <t>実施していない</t>
        </is>
      </c>
      <c r="Z152" s="3" t="inlineStr">
        <is>
          <t>FIM</t>
        </is>
      </c>
      <c r="AB152" s="3" t="inlineStr">
        <is>
          <t>HDS-R, AMTS</t>
        </is>
      </c>
      <c r="AD152" s="3" t="inlineStr">
        <is>
          <t>定量的な下肢筋力測定, SPPB、Functional Reach Test（FRT）, 認知機能</t>
        </is>
      </c>
      <c r="AF152" s="3" t="inlineStr">
        <is>
          <t>決まっている</t>
        </is>
      </c>
      <c r="AG152" s="3" t="inlineStr">
        <is>
          <t>認知機能については、せん妄等がなく座位にて可能となった段階で行っている。下肢筋力は術後２週時点、SPPBは退院時に実施。</t>
        </is>
      </c>
      <c r="AI152" s="3" t="inlineStr">
        <is>
          <t>下肢筋力強化, バランス練習, 歩行練習, 歩容改善, 起立、着座動作練習, 環境調整, 認知面への介入, 行動面への介入, 教育、指導</t>
        </is>
      </c>
    </row>
    <row r="153" ht="22.5" customHeight="1">
      <c r="A153" s="32" t="n">
        <v>46099.41684737268</v>
      </c>
      <c r="B153" s="3" t="inlineStr">
        <is>
          <t>品川　寛和</t>
        </is>
      </c>
      <c r="C153" s="3" t="inlineStr">
        <is>
          <t>独立行政法人　国立病院機構　佐賀病院</t>
        </is>
      </c>
      <c r="D153" s="3" t="inlineStr">
        <is>
          <t>佐賀県</t>
        </is>
      </c>
      <c r="E153" s="3" t="inlineStr">
        <is>
          <t>shinagawa.hirokazu.sl@mail.hosp.go.jp</t>
        </is>
      </c>
      <c r="F153" s="3" t="inlineStr">
        <is>
          <t>リハビリテーション科　理学療法士</t>
        </is>
      </c>
      <c r="G153" s="3" t="n">
        <v>211</v>
      </c>
      <c r="H153" s="3" t="n">
        <v>8</v>
      </c>
      <c r="I153" s="3" t="n">
        <v>4</v>
      </c>
      <c r="J153" s="3" t="inlineStr">
        <is>
          <t>届け出はしていないが、現在検討中である</t>
        </is>
      </c>
      <c r="K153" s="3" t="inlineStr">
        <is>
          <t>実施していない</t>
        </is>
      </c>
      <c r="L153" s="3" t="inlineStr">
        <is>
          <t>全症例の50％〜74％程度</t>
        </is>
      </c>
      <c r="M153" s="3" t="inlineStr">
        <is>
          <t>疼痛コントロール、クーリング、ギャッチアップ等を訓練及び病棟内で実施</t>
        </is>
      </c>
      <c r="N153" s="3" t="inlineStr">
        <is>
          <t>全症例の0％〜24％程度</t>
        </is>
      </c>
      <c r="P153" s="3" t="inlineStr">
        <is>
          <t>全症例の25％〜49％程度</t>
        </is>
      </c>
      <c r="R153" s="3" t="inlineStr">
        <is>
          <t>全症例の0％〜24％程度</t>
        </is>
      </c>
      <c r="T153" s="3" t="inlineStr">
        <is>
          <t>実施していない</t>
        </is>
      </c>
      <c r="U153" s="3" t="inlineStr">
        <is>
          <t>術後評価としていくつかの項目の評価はするも、サルコペニアの評価としては実施していない</t>
        </is>
      </c>
      <c r="V153" s="3" t="inlineStr">
        <is>
          <t>実施していない</t>
        </is>
      </c>
      <c r="W153" s="3" t="inlineStr">
        <is>
          <t>術後評価としていくつかの項目の評価はするも、フレイルの評価としては実施していない</t>
        </is>
      </c>
      <c r="X153" s="3" t="inlineStr">
        <is>
          <t>実施していない</t>
        </is>
      </c>
      <c r="Y153" s="3" t="inlineStr">
        <is>
          <t>術後評価としていくつかの項目の評価はするも、ロコモティブシンドロームの評価としては実施していない</t>
        </is>
      </c>
      <c r="Z153" s="3" t="inlineStr">
        <is>
          <t>Barthel Index（BI）</t>
        </is>
      </c>
      <c r="AB153" s="3" t="inlineStr">
        <is>
          <t>MMSE, HDS-R</t>
        </is>
      </c>
      <c r="AD153" s="3" t="inlineStr">
        <is>
          <t>SPPB、Functional Reach Test（FRT）, 認知機能, ベッド周囲および病室環境, 握力測定</t>
        </is>
      </c>
      <c r="AF153" s="3" t="inlineStr">
        <is>
          <t>決まっていない</t>
        </is>
      </c>
      <c r="AH153" s="3" t="inlineStr">
        <is>
          <t>ベッド周囲及び病室環境の評価は術後３日目に実施するが、それ以外の項目は転院調整以降や退院日直前に実施している。</t>
        </is>
      </c>
      <c r="AI153" s="3" t="inlineStr">
        <is>
          <t>下肢筋力強化, バランス練習, 歩行練習, 歩容改善, 起立、着座動作練習, 環境調整, 補助具、装具の適正化, 認知面への介入, 行動面への介入, 教育、指導</t>
        </is>
      </c>
    </row>
    <row r="154" ht="22.5" customHeight="1">
      <c r="A154" s="32" t="n">
        <v>46099.4343918287</v>
      </c>
      <c r="B154" s="3" t="inlineStr">
        <is>
          <t>理学療法士</t>
        </is>
      </c>
      <c r="C154" s="3" t="inlineStr">
        <is>
          <t>国民健康保険富士吉田市立病院</t>
        </is>
      </c>
      <c r="D154" s="3" t="inlineStr">
        <is>
          <t>山梨県</t>
        </is>
      </c>
      <c r="E154" s="3" t="inlineStr">
        <is>
          <t>byoin@fymh.jp</t>
        </is>
      </c>
      <c r="F154" s="3" t="inlineStr">
        <is>
          <t>リハビリテーション科／理学療法士</t>
        </is>
      </c>
      <c r="G154" s="3" t="n">
        <v>99</v>
      </c>
      <c r="H154" s="3" t="n">
        <v>18</v>
      </c>
      <c r="I154" s="3" t="n">
        <v>2</v>
      </c>
      <c r="J154" s="3" t="inlineStr">
        <is>
          <t>届け出はしていないが、現在検討中である</t>
        </is>
      </c>
      <c r="K154" s="3" t="inlineStr">
        <is>
          <t>実施していない</t>
        </is>
      </c>
      <c r="L154" s="3" t="inlineStr">
        <is>
          <t>全症例の0％〜24％程度</t>
        </is>
      </c>
      <c r="N154" s="3" t="inlineStr">
        <is>
          <t>全症例の0％〜24％程度</t>
        </is>
      </c>
      <c r="P154" s="3" t="inlineStr">
        <is>
          <t>全症例の0％〜24％程度</t>
        </is>
      </c>
      <c r="R154" s="3" t="inlineStr">
        <is>
          <t>全症例の0％〜24％程度</t>
        </is>
      </c>
      <c r="T154" s="3" t="inlineStr">
        <is>
          <t>実施していない</t>
        </is>
      </c>
      <c r="U154" s="3" t="inlineStr">
        <is>
          <t>サルコペニアの評価をしていない</t>
        </is>
      </c>
      <c r="V154" s="3" t="inlineStr">
        <is>
          <t>実施していない</t>
        </is>
      </c>
      <c r="W154" s="3" t="inlineStr">
        <is>
          <t>フレイルの評価をしていない</t>
        </is>
      </c>
      <c r="X154" s="3" t="inlineStr">
        <is>
          <t>実施していない</t>
        </is>
      </c>
      <c r="Y154" s="3" t="inlineStr">
        <is>
          <t>ロコモの評価をしていない</t>
        </is>
      </c>
      <c r="Z154" s="3" t="inlineStr">
        <is>
          <t>Barthel Index（BI）, FIM</t>
        </is>
      </c>
      <c r="AB154" s="3" t="inlineStr">
        <is>
          <t>HDS-R</t>
        </is>
      </c>
      <c r="AD154" s="3" t="inlineStr">
        <is>
          <t>実施していない</t>
        </is>
      </c>
      <c r="AE154" s="3" t="inlineStr">
        <is>
          <t>活動を行っていない</t>
        </is>
      </c>
      <c r="AI154" s="3" t="inlineStr">
        <is>
          <t xml:space="preserve">下肢筋力強化, バランス練習, 歩行練習, 歩容改善, 起立、着座動作練習, 環境調整, 補助具、装具の適正化, 認知面への介入, 行動面への介入, 教育、指導, </t>
        </is>
      </c>
    </row>
    <row r="155" ht="22.5" customHeight="1">
      <c r="A155" s="32" t="n">
        <v>46099.46403549769</v>
      </c>
      <c r="B155" s="3" t="inlineStr">
        <is>
          <t>大野　一幸</t>
        </is>
      </c>
      <c r="C155" s="3" t="inlineStr">
        <is>
          <t>堺市立総合医療センター</t>
        </is>
      </c>
      <c r="D155" s="3" t="inlineStr">
        <is>
          <t>大阪府</t>
        </is>
      </c>
      <c r="E155" s="3" t="inlineStr">
        <is>
          <t>ikko@sakai-hospital.jp</t>
        </is>
      </c>
      <c r="G155" s="3" t="n">
        <v>123</v>
      </c>
      <c r="H155" s="3" t="n">
        <v>10</v>
      </c>
      <c r="I155" s="3" t="n">
        <v>5</v>
      </c>
      <c r="J155" s="3" t="inlineStr">
        <is>
          <t>現在、算定している</t>
        </is>
      </c>
      <c r="K155" s="3" t="inlineStr">
        <is>
          <t>関節可動域運動, 呼吸リハビリテーション, DVT予防, ポジショニング, 術後リハビリテーションのオリエンテーション</t>
        </is>
      </c>
      <c r="L155" s="3" t="inlineStr">
        <is>
          <t>全症例の0％〜24％程度</t>
        </is>
      </c>
      <c r="N155" s="3" t="inlineStr">
        <is>
          <t>全症例の0％〜24％程度</t>
        </is>
      </c>
      <c r="P155" s="3" t="inlineStr">
        <is>
          <t>全症例の0％〜24％程度</t>
        </is>
      </c>
      <c r="R155" s="3" t="inlineStr">
        <is>
          <t>全症例の0％〜24％程度</t>
        </is>
      </c>
      <c r="T155" s="3" t="inlineStr">
        <is>
          <t>握力, 膝伸展筋力, 歩行速度</t>
        </is>
      </c>
      <c r="V155" s="3" t="inlineStr">
        <is>
          <t>J-CHS基準</t>
        </is>
      </c>
      <c r="X155" s="3" t="inlineStr">
        <is>
          <t>立ち上がりテスト, ロコモ25（質問票）</t>
        </is>
      </c>
      <c r="Z155" s="3" t="inlineStr">
        <is>
          <t>Barthel Index（BI）, Katz Index, FIM</t>
        </is>
      </c>
      <c r="AB155" s="3" t="inlineStr">
        <is>
          <t>MMSE</t>
        </is>
      </c>
      <c r="AD155" s="3" t="inlineStr">
        <is>
          <t>せん妄, 過去の転倒歴, 薬剤（向精神薬、降圧薬、利尿薬、ポリファーマシーなど）, ベッド周囲および病室環境</t>
        </is>
      </c>
      <c r="AF155" s="3" t="inlineStr">
        <is>
          <t>決まっていない</t>
        </is>
      </c>
      <c r="AI155" s="3" t="inlineStr">
        <is>
          <t>下肢筋力強化, バランス練習, 歩行練習, 歩容改善, 教育、指導</t>
        </is>
      </c>
    </row>
    <row r="156" ht="22.5" customHeight="1">
      <c r="A156" s="32" t="n">
        <v>46099.4851993287</v>
      </c>
      <c r="B156" s="3" t="inlineStr">
        <is>
          <t>中路一大</t>
        </is>
      </c>
      <c r="C156" s="3" t="inlineStr">
        <is>
          <t>矢木脳神経外科病院</t>
        </is>
      </c>
      <c r="D156" s="3" t="inlineStr">
        <is>
          <t>大阪府</t>
        </is>
      </c>
      <c r="E156" s="3" t="inlineStr">
        <is>
          <t>k-nakaji@kouzenkai.or.jp</t>
        </is>
      </c>
      <c r="F156" s="3" t="inlineStr">
        <is>
          <t>リハビリテーション科 / 理学療法士</t>
        </is>
      </c>
      <c r="G156" s="3" t="n">
        <v>112</v>
      </c>
      <c r="H156" s="3" t="n">
        <v>12</v>
      </c>
      <c r="I156" s="3" t="n">
        <v>4</v>
      </c>
      <c r="J156" s="3" t="inlineStr">
        <is>
          <t>現在、算定している</t>
        </is>
      </c>
      <c r="K156" s="3" t="inlineStr">
        <is>
          <t>筋力増強運動, DVT予防, ポジショニング, 自主運動指導, 術後リハビリテーションのオリエンテーション</t>
        </is>
      </c>
      <c r="L156" s="3" t="inlineStr">
        <is>
          <t>全症例の25％〜49％程度</t>
        </is>
      </c>
      <c r="N156" s="3" t="inlineStr">
        <is>
          <t>全症例の25％〜49％程度</t>
        </is>
      </c>
      <c r="P156" s="3" t="inlineStr">
        <is>
          <t>全症例の0％〜24％程度</t>
        </is>
      </c>
      <c r="R156" s="3" t="inlineStr">
        <is>
          <t>全症例の0％〜24％程度</t>
        </is>
      </c>
      <c r="T156" s="3" t="inlineStr">
        <is>
          <t>握力, 膝伸展筋力, 5回椅子立ち上がりテスト, 歩行速度, TUG, 下腿周径, MNA-SF</t>
        </is>
      </c>
      <c r="V156" s="3" t="inlineStr">
        <is>
          <t>TUG, 認知機能, MNA-SF, 握力</t>
        </is>
      </c>
      <c r="X156" s="3" t="inlineStr">
        <is>
          <t>立ち上がりテスト</t>
        </is>
      </c>
      <c r="Z156" s="3" t="inlineStr">
        <is>
          <t>Barthel Index（BI）, FIM</t>
        </is>
      </c>
      <c r="AB156" s="3" t="inlineStr">
        <is>
          <t>MMSE, HDS-R</t>
        </is>
      </c>
      <c r="AD156" s="3" t="inlineStr">
        <is>
          <t>TUG, 10m歩行速度, 認知機能, 過去の転倒歴, ベッド周囲および病室環境</t>
        </is>
      </c>
      <c r="AF156" s="3" t="inlineStr">
        <is>
          <t>決まっていない</t>
        </is>
      </c>
      <c r="AH156" s="3" t="inlineStr">
        <is>
          <t>症例ごとに術後の状況、安静度、術前ADL等が違うため、一律に評価日は決められない</t>
        </is>
      </c>
      <c r="AI156" s="3" t="inlineStr">
        <is>
          <t>下肢筋力強化, バランス練習, 歩行練習, 起立、着座動作練習, 環境調整, 認知面への介入, 教育、指導</t>
        </is>
      </c>
    </row>
    <row r="157" ht="22.5" customHeight="1">
      <c r="A157" s="32" t="n">
        <v>46099.52442976852</v>
      </c>
      <c r="B157" s="3" t="inlineStr">
        <is>
          <t>梅原　健人</t>
        </is>
      </c>
      <c r="C157" s="3" t="inlineStr">
        <is>
          <t>富士市立中央病院</t>
        </is>
      </c>
      <c r="D157" s="3" t="inlineStr">
        <is>
          <t>静岡県</t>
        </is>
      </c>
      <c r="E157" s="3" t="inlineStr">
        <is>
          <t>umehara.pt@gmail.com</t>
        </is>
      </c>
      <c r="F157" s="3" t="inlineStr">
        <is>
          <t>ﾘﾊﾋﾞﾘﾃｰｼｮﾝ科　上席理学療法士</t>
        </is>
      </c>
      <c r="G157" s="3" t="n">
        <v>226</v>
      </c>
      <c r="H157" s="3" t="n">
        <v>11</v>
      </c>
      <c r="I157" s="3" t="n">
        <v>0</v>
      </c>
      <c r="J157" s="3" t="inlineStr">
        <is>
          <t>届け出をしておらず、検討もしていない</t>
        </is>
      </c>
      <c r="K157" s="3" t="inlineStr">
        <is>
          <t>関節可動域運動, 筋力増強運動, DVT予防, ポジショニング, 自主運動指導, 術後リハビリテーションのオリエンテーション, 離床（例：車椅子移乗,立位,歩行など）</t>
        </is>
      </c>
      <c r="L157" s="3" t="inlineStr">
        <is>
          <t>全症例の75％〜100％程度</t>
        </is>
      </c>
      <c r="M157" s="3" t="inlineStr">
        <is>
          <t>手術翌日の整形外科回診にて基本全例実施しているため</t>
        </is>
      </c>
      <c r="N157" s="3" t="inlineStr">
        <is>
          <t>全症例の0％〜24％程度</t>
        </is>
      </c>
      <c r="P157" s="3" t="inlineStr">
        <is>
          <t>全症例の0％〜24％程度</t>
        </is>
      </c>
      <c r="R157" s="3" t="inlineStr">
        <is>
          <t>全症例の0％〜24％程度</t>
        </is>
      </c>
      <c r="T157" s="3" t="inlineStr">
        <is>
          <t>握力, 歩行速度, TUG</t>
        </is>
      </c>
      <c r="V157" s="3" t="inlineStr">
        <is>
          <t>TUG, 6分間歩行距離, 握力</t>
        </is>
      </c>
      <c r="X157" s="3" t="inlineStr">
        <is>
          <t>実施していない</t>
        </is>
      </c>
      <c r="Y157" s="3" t="inlineStr">
        <is>
          <t>院内で規定した内容の評価を実施しているため</t>
        </is>
      </c>
      <c r="Z157" s="3" t="inlineStr">
        <is>
          <t>FIM</t>
        </is>
      </c>
      <c r="AB157" s="3" t="inlineStr">
        <is>
          <t>MMSE, HDS-R</t>
        </is>
      </c>
      <c r="AD157" s="3" t="inlineStr">
        <is>
          <t>TUG, 10m歩行速度</t>
        </is>
      </c>
      <c r="AF157" s="3" t="inlineStr">
        <is>
          <t>決まっていない</t>
        </is>
      </c>
      <c r="AH157" s="3" t="inlineStr">
        <is>
          <t>疼痛や転院時期に応じて実施有無に個人差が大きいため</t>
        </is>
      </c>
      <c r="AI157" s="3" t="inlineStr">
        <is>
          <t>下肢筋力強化, バランス練習, 歩行練習, 歩容改善, 起立、着座動作練習, 補助具、装具の適正化</t>
        </is>
      </c>
    </row>
    <row r="158" ht="22.5" customHeight="1">
      <c r="A158" s="32" t="n">
        <v>46099.59330528935</v>
      </c>
      <c r="B158" s="3" t="inlineStr">
        <is>
          <t>山内 祐弥</t>
        </is>
      </c>
      <c r="C158" s="3" t="inlineStr">
        <is>
          <t>京都第二赤十字病院</t>
        </is>
      </c>
      <c r="D158" s="3" t="inlineStr">
        <is>
          <t>京都府</t>
        </is>
      </c>
      <c r="E158" s="3" t="inlineStr">
        <is>
          <t>ijika@kyoto2.jrc.or.jp</t>
        </is>
      </c>
      <c r="F158" s="3" t="inlineStr">
        <is>
          <t>リハビリテーション課　理学療法士</t>
        </is>
      </c>
      <c r="G158" s="3" t="n">
        <v>124</v>
      </c>
      <c r="H158" s="3" t="n">
        <v>13</v>
      </c>
      <c r="I158" s="3" t="n">
        <v>0</v>
      </c>
      <c r="J158" s="3" t="inlineStr">
        <is>
          <t>届け出をしておらず、検討もしていない</t>
        </is>
      </c>
      <c r="K158" s="3" t="inlineStr">
        <is>
          <t>関節可動域運動, 筋力増強運動, 呼吸リハビリテーション, DVT予防, リラクセーション, ポジショニング, 自主運動指導, 術後リハビリテーションのオリエンテーション</t>
        </is>
      </c>
      <c r="L158" s="3" t="inlineStr">
        <is>
          <t>全症例の0％〜24％程度</t>
        </is>
      </c>
      <c r="N158" s="3" t="inlineStr">
        <is>
          <t>全症例の0％〜24％程度</t>
        </is>
      </c>
      <c r="P158" s="3" t="inlineStr">
        <is>
          <t>全症例の0％〜24％程度</t>
        </is>
      </c>
      <c r="R158" s="3" t="inlineStr">
        <is>
          <t>全症例の0％〜24％程度</t>
        </is>
      </c>
      <c r="T158" s="3" t="inlineStr">
        <is>
          <t>実施していない</t>
        </is>
      </c>
      <c r="V158" s="3" t="inlineStr">
        <is>
          <t>実施していない</t>
        </is>
      </c>
      <c r="X158" s="3" t="inlineStr">
        <is>
          <t>実施していない</t>
        </is>
      </c>
      <c r="Z158" s="3" t="inlineStr">
        <is>
          <t>Barthel Index（BI）, FIM</t>
        </is>
      </c>
      <c r="AB158" s="3" t="inlineStr">
        <is>
          <t>HDS-R</t>
        </is>
      </c>
      <c r="AD158" s="3" t="inlineStr">
        <is>
          <t>認知機能, 転倒リスク評価表</t>
        </is>
      </c>
      <c r="AF158" s="3" t="inlineStr">
        <is>
          <t>決まっていない</t>
        </is>
      </c>
      <c r="AI158" s="3" t="inlineStr">
        <is>
          <t>下肢筋力強化, バランス練習, 歩行練習, 歩容改善, 起立、着座動作練習, 環境調整, 補助具、装具の適正化, 認知面への介入, 行動面への介入, 教育、指導</t>
        </is>
      </c>
    </row>
    <row r="159" ht="22.5" customHeight="1">
      <c r="A159" s="32" t="n">
        <v>46099.74082549768</v>
      </c>
      <c r="B159" s="3" t="inlineStr">
        <is>
          <t>山口祐基</t>
        </is>
      </c>
      <c r="C159" s="3" t="inlineStr">
        <is>
          <t>公立西知多総合病院</t>
        </is>
      </c>
      <c r="D159" s="3" t="inlineStr">
        <is>
          <t>愛知県</t>
        </is>
      </c>
      <c r="E159" s="3" t="inlineStr">
        <is>
          <t>yy_rexxam_anchor@docomo.ne.jp</t>
        </is>
      </c>
      <c r="F159" s="3" t="inlineStr">
        <is>
          <t>理学療法士1</t>
        </is>
      </c>
      <c r="G159" s="3" t="n">
        <v>248</v>
      </c>
      <c r="H159" s="3" t="n">
        <v>13</v>
      </c>
      <c r="I159" s="3" t="n">
        <v>0</v>
      </c>
      <c r="J159" s="3" t="inlineStr">
        <is>
          <t>届け出はしていないが、現在検討中である</t>
        </is>
      </c>
      <c r="K159" s="3" t="inlineStr">
        <is>
          <t>関節可動域運動, 筋力増強運動, 呼吸リハビリテーション, 離床（例：車椅子移乗,立位,歩行など）</t>
        </is>
      </c>
      <c r="L159" s="3" t="inlineStr">
        <is>
          <t>全症例の0％〜24％程度</t>
        </is>
      </c>
      <c r="N159" s="3" t="inlineStr">
        <is>
          <t>全症例の0％〜24％程度</t>
        </is>
      </c>
      <c r="P159" s="3" t="inlineStr">
        <is>
          <t>全症例の0％〜24％程度</t>
        </is>
      </c>
      <c r="R159" s="3" t="inlineStr">
        <is>
          <t>全症例の0％〜24％程度</t>
        </is>
      </c>
      <c r="T159" s="3" t="inlineStr">
        <is>
          <t>実施していない</t>
        </is>
      </c>
      <c r="U159" s="3" t="inlineStr">
        <is>
          <t>NSTとの関りがあまりなく統一した基準を設けていない</t>
        </is>
      </c>
      <c r="V159" s="3" t="inlineStr">
        <is>
          <t>実施していない</t>
        </is>
      </c>
      <c r="W159" s="3" t="inlineStr">
        <is>
          <t>実施する基準がない</t>
        </is>
      </c>
      <c r="X159" s="3" t="inlineStr">
        <is>
          <t>実施していない</t>
        </is>
      </c>
      <c r="Y159" s="3" t="inlineStr">
        <is>
          <t>実施する基準がない</t>
        </is>
      </c>
      <c r="Z159" s="3" t="inlineStr">
        <is>
          <t>Barthel Index（BI）, FIM</t>
        </is>
      </c>
      <c r="AB159" s="3" t="inlineStr">
        <is>
          <t>MMSE, HDS-R</t>
        </is>
      </c>
      <c r="AD159" s="3" t="inlineStr">
        <is>
          <t>実施していない</t>
        </is>
      </c>
      <c r="AE159" s="3" t="inlineStr">
        <is>
          <t>基準を設けていない</t>
        </is>
      </c>
      <c r="AI159" s="3" t="inlineStr">
        <is>
          <t>下肢筋力強化, バランス練習, 歩行練習, 起立、着座動作練習, 環境調整, 認知面への介入, 行動面への介入, 教育、指導</t>
        </is>
      </c>
    </row>
    <row r="160" ht="22.5" customHeight="1">
      <c r="A160" s="32" t="n">
        <v>46099.74609633101</v>
      </c>
      <c r="B160" s="3" t="inlineStr">
        <is>
          <t>畠中　聡</t>
        </is>
      </c>
      <c r="C160" s="3" t="inlineStr">
        <is>
          <t>仙台市立病院</t>
        </is>
      </c>
      <c r="D160" s="3" t="inlineStr">
        <is>
          <t>宮城県</t>
        </is>
      </c>
      <c r="E160" s="3" t="inlineStr">
        <is>
          <t>reha@hospital.city.sendai.jp</t>
        </is>
      </c>
      <c r="F160" s="3" t="inlineStr">
        <is>
          <t>リハビリテーション科　理学療法士</t>
        </is>
      </c>
      <c r="G160" s="3" t="n">
        <v>99</v>
      </c>
      <c r="H160" s="3" t="n">
        <v>9</v>
      </c>
      <c r="I160" s="3" t="n">
        <v>0</v>
      </c>
      <c r="J160" s="3" t="inlineStr">
        <is>
          <t>届け出をしておらず、検討もしていない</t>
        </is>
      </c>
      <c r="K160" s="3" t="inlineStr">
        <is>
          <t>関節可動域運動, 筋力増強運動, 呼吸リハビリテーション, DVT予防, リラクセーション, ポジショニング, 自主運動指導, 術後リハビリテーションのオリエンテーション, 離床（例：車椅子移乗,立位,歩行など）</t>
        </is>
      </c>
      <c r="L160" s="3" t="inlineStr">
        <is>
          <t>全症例の75％〜100％程度</t>
        </is>
      </c>
      <c r="M160" s="3" t="inlineStr">
        <is>
          <t>服薬による疼痛コントロール、環境調整など</t>
        </is>
      </c>
      <c r="N160" s="3" t="inlineStr">
        <is>
          <t>全症例の0％〜24％程度</t>
        </is>
      </c>
      <c r="P160" s="3" t="inlineStr">
        <is>
          <t>全症例の0％〜24％程度</t>
        </is>
      </c>
      <c r="R160" s="3" t="inlineStr">
        <is>
          <t>全症例の0％〜24％程度</t>
        </is>
      </c>
      <c r="T160" s="3" t="inlineStr">
        <is>
          <t>実施していない</t>
        </is>
      </c>
      <c r="U160" s="3" t="inlineStr">
        <is>
          <t>時間的余裕がないため。</t>
        </is>
      </c>
      <c r="V160" s="3" t="inlineStr">
        <is>
          <t>実施していない</t>
        </is>
      </c>
      <c r="W160" s="3" t="inlineStr">
        <is>
          <t>時間的余裕がないため</t>
        </is>
      </c>
      <c r="X160" s="3" t="inlineStr">
        <is>
          <t>実施していない</t>
        </is>
      </c>
      <c r="Y160" s="3" t="inlineStr">
        <is>
          <t>時間的余裕がないため</t>
        </is>
      </c>
      <c r="Z160" s="3" t="inlineStr">
        <is>
          <t>Barthel Index（BI）</t>
        </is>
      </c>
      <c r="AB160" s="3" t="inlineStr">
        <is>
          <t>実施していない</t>
        </is>
      </c>
      <c r="AC160" s="3" t="inlineStr">
        <is>
          <t>時間的余裕がないため</t>
        </is>
      </c>
      <c r="AD160" s="3" t="inlineStr">
        <is>
          <t>定量的な下肢筋力測定, 過去の転倒歴, 既往疾患の有無（脳血管疾患、パーキンソン病など）, 薬剤（向精神薬、降圧薬、利尿薬、ポリファーマシーなど）, ベッド周囲および病室環境</t>
        </is>
      </c>
      <c r="AF160" s="3" t="inlineStr">
        <is>
          <t>決まっていない</t>
        </is>
      </c>
      <c r="AI160" s="3" t="inlineStr">
        <is>
          <t>下肢筋力強化, バランス練習, 歩行練習, 歩容改善, 起立、着座動作練習, 環境調整, 補助具、装具の適正化, 認知面への介入, 行動面への介入, 薬剤調整, 教育、指導</t>
        </is>
      </c>
    </row>
    <row r="161" ht="22.5" customHeight="1">
      <c r="A161" s="32" t="n">
        <v>46099.75463350694</v>
      </c>
      <c r="B161" s="3" t="inlineStr">
        <is>
          <t>岩井ひかる</t>
        </is>
      </c>
      <c r="C161" s="3" t="inlineStr">
        <is>
          <t>新潟県立十日町病院</t>
        </is>
      </c>
      <c r="D161" s="3" t="inlineStr">
        <is>
          <t>新潟県</t>
        </is>
      </c>
      <c r="E161" s="3" t="inlineStr">
        <is>
          <t>reha@tokamachi-hosp-niigata.jp</t>
        </is>
      </c>
      <c r="F161" s="3" t="inlineStr">
        <is>
          <t>リハビリテーション科／理学療法士</t>
        </is>
      </c>
      <c r="G161" s="3" t="n">
        <v>89</v>
      </c>
      <c r="H161" s="3" t="n">
        <v>9</v>
      </c>
      <c r="I161" s="3" t="n">
        <v>6</v>
      </c>
      <c r="J161" s="3" t="inlineStr">
        <is>
          <t>届け出をしておらず、検討もしていない</t>
        </is>
      </c>
      <c r="K161" s="3" t="inlineStr">
        <is>
          <t>関節可動域運動, 筋力増強運動, リラクセーション, ポジショニング, 自主運動指導, 離床（例：車椅子移乗,立位,歩行など）, 基本的には術後介入の体制です、手術までの待機期間が長ければ主治医指示のもと術前より対応しています</t>
        </is>
      </c>
      <c r="L161" s="3" t="inlineStr">
        <is>
          <t>全症例の75％〜100％程度</t>
        </is>
      </c>
      <c r="M161" s="3" t="inlineStr">
        <is>
          <t>術後リハ介入のプロトコル体制の構築、病棟看護師との安静度共有での離床体制構築</t>
        </is>
      </c>
      <c r="N161" s="3" t="inlineStr">
        <is>
          <t>全症例の50％〜74％程度</t>
        </is>
      </c>
      <c r="O161" s="3" t="inlineStr">
        <is>
          <t>認知症ケアチームとの連携にて事前にスタッフでの情報共有を行っている</t>
        </is>
      </c>
      <c r="P161" s="3" t="inlineStr">
        <is>
          <t>全症例の75％〜100％程度</t>
        </is>
      </c>
      <c r="Q161" s="3" t="inlineStr">
        <is>
          <t>整形外科医判断にて内科医にコンサルタントを依頼</t>
        </is>
      </c>
      <c r="R161" s="3" t="inlineStr">
        <is>
          <t>全症例の75％〜100％程度</t>
        </is>
      </c>
      <c r="S161" s="3" t="inlineStr">
        <is>
          <t>リハ、病棟スタッフと状態や環境調整の共有</t>
        </is>
      </c>
      <c r="T161" s="3" t="inlineStr">
        <is>
          <t>膝伸展筋力, 下腿周径</t>
        </is>
      </c>
      <c r="V161" s="3" t="inlineStr">
        <is>
          <t>実施していない</t>
        </is>
      </c>
      <c r="X161" s="3" t="inlineStr">
        <is>
          <t>実施していない</t>
        </is>
      </c>
      <c r="Y161" s="3" t="inlineStr">
        <is>
          <t>特に基準を設定していない</t>
        </is>
      </c>
      <c r="Z161" s="3" t="inlineStr">
        <is>
          <t>FIM</t>
        </is>
      </c>
      <c r="AB161" s="3" t="inlineStr">
        <is>
          <t>MMSE</t>
        </is>
      </c>
      <c r="AD161" s="3" t="inlineStr">
        <is>
          <t>認知機能, 注意障害, 遂行機能, せん妄, ベッド周囲および病室環境</t>
        </is>
      </c>
      <c r="AF161" s="3" t="inlineStr">
        <is>
          <t>決まっている</t>
        </is>
      </c>
      <c r="AG161" s="3" t="inlineStr">
        <is>
          <t>MMSEを術後7日目に評価</t>
        </is>
      </c>
      <c r="AI161" s="3" t="inlineStr">
        <is>
          <t>下肢筋力強化, バランス練習, 歩行練習, 歩容改善, 起立、着座動作練習, 環境調整, 補助具、装具の適正化, 認知面への介入, 行動面への介入, 教育、指導, 病棟との情報共有</t>
        </is>
      </c>
    </row>
    <row r="162" ht="22.5" customHeight="1">
      <c r="A162" s="32" t="n">
        <v>46099.77008065972</v>
      </c>
      <c r="B162" s="3" t="inlineStr">
        <is>
          <t>R H</t>
        </is>
      </c>
      <c r="C162" s="3" t="inlineStr">
        <is>
          <t>青森県立中央病院</t>
        </is>
      </c>
      <c r="D162" s="3" t="inlineStr">
        <is>
          <t>青森県</t>
        </is>
      </c>
      <c r="E162" s="3" t="inlineStr">
        <is>
          <t>ryox22tgrsnp@gmail.com</t>
        </is>
      </c>
      <c r="G162" s="3" t="n">
        <v>143</v>
      </c>
      <c r="H162" s="3" t="n">
        <v>7</v>
      </c>
      <c r="I162" s="3" t="n">
        <v>0</v>
      </c>
      <c r="J162" s="3" t="inlineStr">
        <is>
          <t>届け出をしておらず、検討もしていない</t>
        </is>
      </c>
      <c r="K162" s="3" t="inlineStr">
        <is>
          <t>実施していない</t>
        </is>
      </c>
      <c r="L162" s="3" t="inlineStr">
        <is>
          <t>全症例の0％〜24％程度</t>
        </is>
      </c>
      <c r="N162" s="3" t="inlineStr">
        <is>
          <t>全症例の0％〜24％程度</t>
        </is>
      </c>
      <c r="P162" s="3" t="inlineStr">
        <is>
          <t>全症例の0％〜24％程度</t>
        </is>
      </c>
      <c r="R162" s="3" t="inlineStr">
        <is>
          <t>全症例の0％〜24％程度</t>
        </is>
      </c>
      <c r="T162" s="3" t="inlineStr">
        <is>
          <t>握力, 膝伸展筋力, 5回椅子立ち上がりテスト, 歩行速度, TUG, 開眼片脚立位時間, 下腿周径</t>
        </is>
      </c>
      <c r="V162" s="3" t="inlineStr">
        <is>
          <t>TUG, 認知機能, 握力</t>
        </is>
      </c>
      <c r="X162" s="3" t="inlineStr">
        <is>
          <t>実施していない</t>
        </is>
      </c>
      <c r="Y162" s="3" t="inlineStr">
        <is>
          <t>優先度の高い評価を実施しているため、ロコモ評価にまでは手がまわらない</t>
        </is>
      </c>
      <c r="Z162" s="3" t="inlineStr">
        <is>
          <t>Barthel Index（BI）, FIM</t>
        </is>
      </c>
      <c r="AB162" s="3" t="inlineStr">
        <is>
          <t>HDS-R</t>
        </is>
      </c>
      <c r="AD162" s="3" t="inlineStr">
        <is>
          <t>開眼片脚立位時間, TUG, 10m歩行速度, 5回椅子立ち上がりテスト, 認知機能, 過去の転倒歴, 既往疾患の有無（脳血管疾患、パーキンソン病など）</t>
        </is>
      </c>
      <c r="AF162" s="3" t="inlineStr">
        <is>
          <t>決まっている</t>
        </is>
      </c>
      <c r="AG162" s="3" t="inlineStr">
        <is>
          <t>項目によって違うが、
初回と、最終で評価</t>
        </is>
      </c>
      <c r="AI162" s="3" t="inlineStr">
        <is>
          <t>下肢筋力強化, バランス練習, 歩行練習, 歩容改善, 起立、着座動作練習, 環境調整, 補助具、装具の適正化, 行動面への介入, 教育、指導</t>
        </is>
      </c>
    </row>
    <row r="163" ht="22.5" customHeight="1">
      <c r="A163" s="32" t="n">
        <v>46099.79272739583</v>
      </c>
      <c r="B163" s="3" t="inlineStr">
        <is>
          <t>信太　春人</t>
        </is>
      </c>
      <c r="C163" s="3" t="inlineStr">
        <is>
          <t>独立行政法人　国立病院機構　弘前総合医療センター</t>
        </is>
      </c>
      <c r="D163" s="3" t="inlineStr">
        <is>
          <t>青森県</t>
        </is>
      </c>
      <c r="E163" s="3" t="inlineStr">
        <is>
          <t>yagihashi.seiko.cz@mail.hosp.go.jp</t>
        </is>
      </c>
      <c r="F163" s="3" t="inlineStr">
        <is>
          <t>リハビリテーション科/理学療法士</t>
        </is>
      </c>
      <c r="G163" s="3" t="n">
        <v>253</v>
      </c>
      <c r="H163" s="3" t="n">
        <v>12</v>
      </c>
      <c r="I163" s="3" t="n">
        <v>4</v>
      </c>
      <c r="J163" s="3" t="inlineStr">
        <is>
          <t>届け出はしていないが、現在検討中である</t>
        </is>
      </c>
      <c r="K163" s="3" t="inlineStr">
        <is>
          <t>関節可動域運動, 筋力増強運動, DVT予防, 自主運動指導, 術後リハビリテーションのオリエンテーション, 離床（例：車椅子移乗,立位,歩行など）</t>
        </is>
      </c>
      <c r="L163" s="3" t="inlineStr">
        <is>
          <t>全症例の25％〜49％程度</t>
        </is>
      </c>
      <c r="N163" s="3" t="inlineStr">
        <is>
          <t>全症例の0％〜24％程度</t>
        </is>
      </c>
      <c r="P163" s="3" t="inlineStr">
        <is>
          <t>全症例の0％〜24％程度</t>
        </is>
      </c>
      <c r="R163" s="3" t="inlineStr">
        <is>
          <t>全症例の0％〜24％程度</t>
        </is>
      </c>
      <c r="T163" s="3" t="inlineStr">
        <is>
          <t>膝伸展筋力, SPPB</t>
        </is>
      </c>
      <c r="V163" s="3" t="inlineStr">
        <is>
          <t>認知機能</t>
        </is>
      </c>
      <c r="X163" s="3" t="inlineStr">
        <is>
          <t>実施していない</t>
        </is>
      </c>
      <c r="Y163" s="3" t="inlineStr">
        <is>
          <t>SPPBで立ち上がり動作の評価を行っているため。</t>
        </is>
      </c>
      <c r="Z163" s="3" t="inlineStr">
        <is>
          <t>Barthel Index（BI）, FIM</t>
        </is>
      </c>
      <c r="AB163" s="3" t="inlineStr">
        <is>
          <t>MMSE, HDS-R</t>
        </is>
      </c>
      <c r="AD163" s="3" t="inlineStr">
        <is>
          <t>定量的な下肢筋力測定, SPPB、Functional Reach Test（FRT）</t>
        </is>
      </c>
      <c r="AF163" s="3" t="inlineStr">
        <is>
          <t>決まっていない</t>
        </is>
      </c>
      <c r="AH163" s="3" t="inlineStr">
        <is>
          <t>実施時期に関してはセラピストに一任されているため。</t>
        </is>
      </c>
      <c r="AI163" s="3" t="inlineStr">
        <is>
          <t>下肢筋力強化, バランス練習, 歩行練習, 歩容改善, 起立、着座動作練習, 環境調整, 補助具、装具の適正化, 認知面への介入, 教育、指導</t>
        </is>
      </c>
    </row>
    <row r="164" ht="22.5" customHeight="1">
      <c r="A164" s="32" t="n">
        <v>46099.80600671296</v>
      </c>
      <c r="B164" s="3" t="inlineStr">
        <is>
          <t>倉元　友梨</t>
        </is>
      </c>
      <c r="C164" s="3" t="inlineStr">
        <is>
          <t>岡山済生会総合病院</t>
        </is>
      </c>
      <c r="D164" s="3" t="inlineStr">
        <is>
          <t>岡山県</t>
        </is>
      </c>
      <c r="E164" s="3" t="inlineStr">
        <is>
          <t>ribe.lily0128@gmail.com</t>
        </is>
      </c>
      <c r="F164" s="3" t="inlineStr">
        <is>
          <t>リハビリテーション科/理学療法士</t>
        </is>
      </c>
      <c r="G164" s="3" t="n">
        <v>242</v>
      </c>
      <c r="H164" s="3" t="n">
        <v>8</v>
      </c>
      <c r="I164" s="3" t="n">
        <v>2</v>
      </c>
      <c r="J164" s="3" t="inlineStr">
        <is>
          <t>届け出はしていないが、現在検討中である</t>
        </is>
      </c>
      <c r="K164" s="3" t="inlineStr">
        <is>
          <t>実施していない</t>
        </is>
      </c>
      <c r="L164" s="3" t="inlineStr">
        <is>
          <t>全症例の75％〜100％程度</t>
        </is>
      </c>
      <c r="M164" s="3" t="inlineStr">
        <is>
          <t>鎮痛剤の調整、リハビリテーション介入</t>
        </is>
      </c>
      <c r="N164" s="3" t="inlineStr">
        <is>
          <t>全症例の25％〜49％程度</t>
        </is>
      </c>
      <c r="P164" s="3" t="inlineStr">
        <is>
          <t>全症例の25％〜49％程度</t>
        </is>
      </c>
      <c r="R164" s="3" t="inlineStr">
        <is>
          <t>全症例の0％〜24％程度</t>
        </is>
      </c>
      <c r="T164" s="3" t="inlineStr">
        <is>
          <t>握力, 膝伸展筋力, 下腿周径</t>
        </is>
      </c>
      <c r="V164" s="3" t="inlineStr">
        <is>
          <t>認知機能, 握力</t>
        </is>
      </c>
      <c r="X164" s="3" t="inlineStr">
        <is>
          <t>実施していない</t>
        </is>
      </c>
      <c r="Y164" s="3" t="inlineStr">
        <is>
          <t>急性期にロコモテストを行っても一時的な機能低下を反映したものになると考えられるため</t>
        </is>
      </c>
      <c r="Z164" s="3" t="inlineStr">
        <is>
          <t>Barthel Index（BI）</t>
        </is>
      </c>
      <c r="AB164" s="3" t="inlineStr">
        <is>
          <t>MMSE, HDS-R</t>
        </is>
      </c>
      <c r="AD164" s="3" t="inlineStr">
        <is>
          <t>定量的な下肢筋力測定, 認知機能</t>
        </is>
      </c>
      <c r="AF164" s="3" t="inlineStr">
        <is>
          <t>決まっていない</t>
        </is>
      </c>
      <c r="AH164" s="3" t="inlineStr">
        <is>
          <t>認知機能に関してはせん妄中に検査しても正確な結果が出ないため、症例によってタイミングが異なる。筋力に関しては日々の変化を評価しているため特定の検査日は決まっていない。</t>
        </is>
      </c>
      <c r="AI164" s="3" t="inlineStr">
        <is>
          <t>下肢筋力強化, バランス練習, 歩行練習, 歩容改善, 起立、着座動作練習, 環境調整, 補助具、装具の適正化, 教育、指導</t>
        </is>
      </c>
    </row>
    <row r="165" ht="22.5" customHeight="1">
      <c r="A165" s="32" t="n">
        <v>46099.81986549769</v>
      </c>
      <c r="B165" s="3" t="inlineStr">
        <is>
          <t>明田幸大</t>
        </is>
      </c>
      <c r="C165" s="3" t="inlineStr">
        <is>
          <t>地方独立行政法人 三重県立総合医療センター</t>
        </is>
      </c>
      <c r="D165" s="3" t="inlineStr">
        <is>
          <t>三重県</t>
        </is>
      </c>
      <c r="E165" s="3" t="inlineStr">
        <is>
          <t>yakyu.053106@gmail.com</t>
        </is>
      </c>
      <c r="F165" s="3" t="inlineStr">
        <is>
          <t>リハビリテーション室/理学療法士</t>
        </is>
      </c>
      <c r="G165" s="3" t="n">
        <v>140</v>
      </c>
      <c r="H165" s="3" t="n">
        <v>8</v>
      </c>
      <c r="I165" s="3" t="n">
        <v>0</v>
      </c>
      <c r="J165" s="3" t="inlineStr">
        <is>
          <t>届け出をしておらず、検討もしていない</t>
        </is>
      </c>
      <c r="K165" s="3" t="inlineStr">
        <is>
          <t>実施していない</t>
        </is>
      </c>
      <c r="L165" s="3" t="inlineStr">
        <is>
          <t>全症例の25％〜49％程度</t>
        </is>
      </c>
      <c r="N165" s="3" t="inlineStr">
        <is>
          <t>全症例の25％〜49％程度</t>
        </is>
      </c>
      <c r="P165" s="3" t="inlineStr">
        <is>
          <t>全症例の0％〜24％程度</t>
        </is>
      </c>
      <c r="R165" s="3" t="inlineStr">
        <is>
          <t>全症例の0％〜24％程度</t>
        </is>
      </c>
      <c r="T165" s="3" t="inlineStr">
        <is>
          <t>実施していない</t>
        </is>
      </c>
      <c r="U165" s="3" t="inlineStr">
        <is>
          <t>「サルコペニアの評価」として行なっているわけではないため</t>
        </is>
      </c>
      <c r="V165" s="3" t="inlineStr">
        <is>
          <t>実施していない</t>
        </is>
      </c>
      <c r="W165" s="3" t="inlineStr">
        <is>
          <t>「フレイルの評価」として行なっているわけではないため</t>
        </is>
      </c>
      <c r="X165" s="3" t="inlineStr">
        <is>
          <t>実施していない</t>
        </is>
      </c>
      <c r="Y165" s="3" t="inlineStr">
        <is>
          <t>業務過多のため</t>
        </is>
      </c>
      <c r="Z165" s="3" t="inlineStr">
        <is>
          <t>実施していない</t>
        </is>
      </c>
      <c r="AA165" s="3" t="inlineStr">
        <is>
          <t>看護師がFIMを評価してくれるため</t>
        </is>
      </c>
      <c r="AB165" s="3" t="inlineStr">
        <is>
          <t>実施していない</t>
        </is>
      </c>
      <c r="AC165" s="3" t="inlineStr">
        <is>
          <t>看護師がAMTSを評価してくれるため</t>
        </is>
      </c>
      <c r="AD165" s="3" t="inlineStr">
        <is>
          <t>TUG, 10m歩行速度, 握力、SPPB</t>
        </is>
      </c>
      <c r="AF165" s="3" t="inlineStr">
        <is>
          <t>決まっている</t>
        </is>
      </c>
      <c r="AG165" s="3" t="inlineStr">
        <is>
          <t>術後7日±1日、術後30日、術後120日、術後365日</t>
        </is>
      </c>
      <c r="AI165" s="3" t="inlineStr">
        <is>
          <t>下肢筋力強化, バランス練習, 歩行練習, 歩容改善, 起立、着座動作練習, 教育、指導</t>
        </is>
      </c>
    </row>
    <row r="166" ht="22.5" customHeight="1">
      <c r="A166" s="32" t="n">
        <v>46099.83178582176</v>
      </c>
      <c r="B166" s="3" t="inlineStr">
        <is>
          <t>中本裕美</t>
        </is>
      </c>
      <c r="C166" s="3" t="inlineStr">
        <is>
          <t>独立行政法人国立病院機構浜田医療センター</t>
        </is>
      </c>
      <c r="D166" s="3" t="inlineStr">
        <is>
          <t>島根県</t>
        </is>
      </c>
      <c r="E166" s="3" t="inlineStr">
        <is>
          <t>nakamoto.hiromi.tj@mail.hosp.go.jp</t>
        </is>
      </c>
      <c r="F166" s="3" t="inlineStr">
        <is>
          <t>リハビリテーション科作業療法主任</t>
        </is>
      </c>
      <c r="G166" s="3" t="n">
        <v>163</v>
      </c>
      <c r="H166" s="3" t="n">
        <v>13</v>
      </c>
      <c r="I166" s="3" t="n">
        <v>8</v>
      </c>
      <c r="J166" s="3" t="inlineStr">
        <is>
          <t>届け出をしておらず、検討もしていない</t>
        </is>
      </c>
      <c r="K166" s="3" t="inlineStr">
        <is>
          <t>実施していない, 術前待機が無いので術前リハの処方が無い</t>
        </is>
      </c>
      <c r="L166" s="3" t="inlineStr">
        <is>
          <t>全症例の0％〜24％程度</t>
        </is>
      </c>
      <c r="N166" s="3" t="inlineStr">
        <is>
          <t>全症例の0％〜24％程度</t>
        </is>
      </c>
      <c r="P166" s="3" t="inlineStr">
        <is>
          <t>全症例の0％〜24％程度</t>
        </is>
      </c>
      <c r="R166" s="3" t="inlineStr">
        <is>
          <t>全症例の0％〜24％程度</t>
        </is>
      </c>
      <c r="T166" s="3" t="inlineStr">
        <is>
          <t>握力, 膝伸展筋力, MMT</t>
        </is>
      </c>
      <c r="V166" s="3" t="inlineStr">
        <is>
          <t>握力, MMT</t>
        </is>
      </c>
      <c r="X166" s="3" t="inlineStr">
        <is>
          <t>ROMtest、MMT</t>
        </is>
      </c>
      <c r="Z166" s="3" t="inlineStr">
        <is>
          <t>Barthel Index（BI）</t>
        </is>
      </c>
      <c r="AB166" s="3" t="inlineStr">
        <is>
          <t>MMSE, HDS-R, AMTS</t>
        </is>
      </c>
      <c r="AD166" s="3" t="inlineStr">
        <is>
          <t>SPPB、Functional Reach Test（FRT）, 認知機能</t>
        </is>
      </c>
      <c r="AF166" s="3" t="inlineStr">
        <is>
          <t>決まっていない</t>
        </is>
      </c>
      <c r="AH166" s="3" t="inlineStr">
        <is>
          <t>患者の病状やセラピストの勤務状況によって決めるため。退院前に測定することは決まっている。</t>
        </is>
      </c>
      <c r="AI166" s="3" t="inlineStr">
        <is>
          <t xml:space="preserve">下肢筋力強化, バランス練習, 歩行練習, 歩容改善, 起立、着座動作練習, 環境調整, 補助具、装具の適正化, 認知面への介入, 行動面への介入, 教育、指導, </t>
        </is>
      </c>
      <c r="AJ166" s="3" t="inlineStr">
        <is>
          <t>自由記述は、各項目だけでなくアンケート自体にあると、意見や質問が寄せられてよいと思います。このアンケートの結果はどこで公表されますでしょうか？</t>
        </is>
      </c>
    </row>
    <row r="167" ht="22.5" customHeight="1">
      <c r="A167" s="32" t="n">
        <v>46100.35288716435</v>
      </c>
      <c r="B167" s="3" t="inlineStr">
        <is>
          <t>事務局経営企画課</t>
        </is>
      </c>
      <c r="C167" s="3" t="inlineStr">
        <is>
          <t>大津赤十字病院</t>
        </is>
      </c>
      <c r="D167" s="3" t="inlineStr">
        <is>
          <t>滋賀県</t>
        </is>
      </c>
      <c r="E167" s="3" t="inlineStr">
        <is>
          <t>kikaku2@otsu.jrc.or.jp</t>
        </is>
      </c>
      <c r="F167" s="3" t="inlineStr">
        <is>
          <t>リハビリテーション科／理学療法士</t>
        </is>
      </c>
      <c r="G167" s="3" t="n">
        <v>218</v>
      </c>
      <c r="H167" s="3" t="n">
        <v>20</v>
      </c>
      <c r="I167" s="3" t="n">
        <v>1</v>
      </c>
      <c r="J167" s="3" t="inlineStr">
        <is>
          <t>届け出をしておらず、検討もしていない</t>
        </is>
      </c>
      <c r="K167" s="3" t="inlineStr">
        <is>
          <t>実施していない</t>
        </is>
      </c>
      <c r="L167" s="3" t="inlineStr">
        <is>
          <t>全症例の0％〜24％程度</t>
        </is>
      </c>
      <c r="N167" s="3" t="inlineStr">
        <is>
          <t>全症例の0％〜24％程度</t>
        </is>
      </c>
      <c r="P167" s="3" t="inlineStr">
        <is>
          <t>全症例の0％〜24％程度</t>
        </is>
      </c>
      <c r="R167" s="3" t="inlineStr">
        <is>
          <t>全症例の0％〜24％程度</t>
        </is>
      </c>
      <c r="T167" s="3" t="inlineStr">
        <is>
          <t>膝伸展筋力, TUG</t>
        </is>
      </c>
      <c r="V167" s="3" t="inlineStr">
        <is>
          <t>TUG</t>
        </is>
      </c>
      <c r="X167" s="3" t="inlineStr">
        <is>
          <t>実施していない</t>
        </is>
      </c>
      <c r="Z167" s="3" t="inlineStr">
        <is>
          <t>Barthel Index（BI）</t>
        </is>
      </c>
      <c r="AB167" s="3" t="inlineStr">
        <is>
          <t>MMSE</t>
        </is>
      </c>
      <c r="AD167" s="3" t="inlineStr">
        <is>
          <t>実施していない</t>
        </is>
      </c>
      <c r="AI167" s="3" t="inlineStr">
        <is>
          <t>下肢筋力強化, バランス練習, 歩行練習, 歩容改善, 起立、着座動作練習, 環境調整, 補助具、装具の適正化, 認知面への介入, 行動面への介入, 教育、指導</t>
        </is>
      </c>
    </row>
    <row r="168" ht="22.5" customHeight="1">
      <c r="A168" s="32" t="n">
        <v>46100.36414077546</v>
      </c>
      <c r="B168" s="3" t="inlineStr">
        <is>
          <t>大和　慎祐</t>
        </is>
      </c>
      <c r="C168" s="3" t="inlineStr">
        <is>
          <t>社会医療法人母恋　日鋼記念病院</t>
        </is>
      </c>
      <c r="D168" s="3" t="inlineStr">
        <is>
          <t>北海道</t>
        </is>
      </c>
      <c r="E168" s="3" t="inlineStr">
        <is>
          <t>shinsuke.yamato@nikko-kinen.or.jp</t>
        </is>
      </c>
      <c r="F168" s="3" t="inlineStr">
        <is>
          <t>リハビリテーションセンター/理学療法士</t>
        </is>
      </c>
      <c r="G168" s="3" t="n">
        <v>54</v>
      </c>
      <c r="H168" s="3" t="n">
        <v>3</v>
      </c>
      <c r="I168" s="3" t="n">
        <v>2</v>
      </c>
      <c r="J168" s="3" t="inlineStr">
        <is>
          <t>届け出をしておらず、検討もしていない</t>
        </is>
      </c>
      <c r="K168" s="3" t="inlineStr">
        <is>
          <t>実施していない</t>
        </is>
      </c>
      <c r="L168" s="3" t="inlineStr">
        <is>
          <t>全症例の0％〜24％程度</t>
        </is>
      </c>
      <c r="N168" s="3" t="inlineStr">
        <is>
          <t>全症例の25％〜49％程度</t>
        </is>
      </c>
      <c r="P168" s="3" t="inlineStr">
        <is>
          <t>全症例の0％〜24％程度</t>
        </is>
      </c>
      <c r="R168" s="3" t="inlineStr">
        <is>
          <t>全症例の0％〜24％程度</t>
        </is>
      </c>
      <c r="T168" s="3" t="inlineStr">
        <is>
          <t>握力, 下腿周径</t>
        </is>
      </c>
      <c r="V168" s="3" t="inlineStr">
        <is>
          <t>認知機能, 握力</t>
        </is>
      </c>
      <c r="X168" s="3" t="inlineStr">
        <is>
          <t>立ち上がりテスト, 2ステップテスト</t>
        </is>
      </c>
      <c r="Z168" s="3" t="inlineStr">
        <is>
          <t>FIM</t>
        </is>
      </c>
      <c r="AB168" s="3" t="inlineStr">
        <is>
          <t>MMSE, HDS-R</t>
        </is>
      </c>
      <c r="AD168" s="3" t="inlineStr">
        <is>
          <t>実施していない</t>
        </is>
      </c>
      <c r="AE168" s="3" t="inlineStr">
        <is>
          <t>現状は個々のセラピストが評価を行っており、定められた評価は行っていない。</t>
        </is>
      </c>
      <c r="AH168" s="3" t="inlineStr">
        <is>
          <t>術後１週以内に実施するようにしているがせん妄など実施できない理由もあるため特に期間は定めていない</t>
        </is>
      </c>
      <c r="AI168" s="3" t="inlineStr">
        <is>
          <t>下肢筋力強化, バランス練習, 歩行練習, 起立、着座動作練習, 環境調整, 補助具、装具の適正化, 認知面への介入, 教育、指導</t>
        </is>
      </c>
    </row>
    <row r="169" ht="22.5" customHeight="1">
      <c r="A169" s="32" t="n">
        <v>46100.38195299768</v>
      </c>
      <c r="B169" s="3" t="inlineStr">
        <is>
          <t>宝本　圭二</t>
        </is>
      </c>
      <c r="C169" s="3" t="inlineStr">
        <is>
          <t>医療法人協和会　協和会病院</t>
        </is>
      </c>
      <c r="D169" s="3" t="inlineStr">
        <is>
          <t>大阪府</t>
        </is>
      </c>
      <c r="E169" s="3" t="inlineStr">
        <is>
          <t>k-t1005@nike.eonet.ne.jp</t>
        </is>
      </c>
      <c r="F169" s="3" t="inlineStr">
        <is>
          <t>理学療法科/理学療法士</t>
        </is>
      </c>
      <c r="G169" s="3" t="n">
        <v>73</v>
      </c>
      <c r="H169" s="3" t="n">
        <v>6</v>
      </c>
      <c r="I169" s="3" t="n">
        <v>2</v>
      </c>
      <c r="J169" s="3" t="inlineStr">
        <is>
          <t>届け出をしておらず、検討もしていない</t>
        </is>
      </c>
      <c r="K169" s="3" t="inlineStr">
        <is>
          <t>実施していない</t>
        </is>
      </c>
      <c r="L169" s="3" t="inlineStr">
        <is>
          <t>全症例の0％〜24％程度</t>
        </is>
      </c>
      <c r="N169" s="3" t="inlineStr">
        <is>
          <t>全症例の0％〜24％程度</t>
        </is>
      </c>
      <c r="P169" s="3" t="inlineStr">
        <is>
          <t>全症例の0％〜24％程度</t>
        </is>
      </c>
      <c r="R169" s="3" t="inlineStr">
        <is>
          <t>全症例の0％〜24％程度</t>
        </is>
      </c>
      <c r="T169" s="3" t="inlineStr">
        <is>
          <t>実施していない</t>
        </is>
      </c>
      <c r="U169" s="3" t="inlineStr">
        <is>
          <t>看護師が実施しているため</t>
        </is>
      </c>
      <c r="V169" s="3" t="inlineStr">
        <is>
          <t>実施していない</t>
        </is>
      </c>
      <c r="W169" s="3" t="inlineStr">
        <is>
          <t>特に検討したことがないため</t>
        </is>
      </c>
      <c r="X169" s="3" t="inlineStr">
        <is>
          <t>実施していない</t>
        </is>
      </c>
      <c r="Y169" s="3" t="inlineStr">
        <is>
          <t>特に検討したことがないため</t>
        </is>
      </c>
      <c r="Z169" s="3" t="inlineStr">
        <is>
          <t>Barthel Index（BI）, FIM</t>
        </is>
      </c>
      <c r="AB169" s="3" t="inlineStr">
        <is>
          <t>MMSE, HDS-R</t>
        </is>
      </c>
      <c r="AD169" s="3" t="inlineStr">
        <is>
          <t>開眼片脚立位時間, 認知機能, 過去の転倒歴, 薬剤（向精神薬、降圧薬、利尿薬、ポリファーマシーなど）</t>
        </is>
      </c>
      <c r="AF169" s="3" t="inlineStr">
        <is>
          <t>決まっていない</t>
        </is>
      </c>
      <c r="AH169" s="3" t="inlineStr">
        <is>
          <t>転倒リスクがある方に、適宜実施しているため</t>
        </is>
      </c>
      <c r="AI169" s="3" t="inlineStr">
        <is>
          <t>下肢筋力強化, バランス練習, 歩行練習, 歩容改善, 起立、着座動作練習, 環境調整, 補助具、装具の適正化, 認知面への介入, 行動面への介入, 教育、指導</t>
        </is>
      </c>
    </row>
    <row r="170" ht="22.5" customHeight="1">
      <c r="A170" s="32" t="n">
        <v>46100.39145715278</v>
      </c>
      <c r="B170" s="3" t="inlineStr">
        <is>
          <t>森　章夫</t>
        </is>
      </c>
      <c r="C170" s="3" t="inlineStr">
        <is>
          <t>矢木脳神経外科病院</t>
        </is>
      </c>
      <c r="D170" s="3" t="inlineStr">
        <is>
          <t>大阪府</t>
        </is>
      </c>
      <c r="E170" s="3" t="inlineStr">
        <is>
          <t>k-nakaji@kouzenkai.or.jp</t>
        </is>
      </c>
      <c r="G170" s="3" t="n">
        <v>112</v>
      </c>
      <c r="H170" s="3" t="n">
        <v>12</v>
      </c>
      <c r="I170" s="3" t="n">
        <v>4</v>
      </c>
      <c r="J170" s="3" t="inlineStr">
        <is>
          <t>現在、算定している</t>
        </is>
      </c>
      <c r="K170" s="3" t="inlineStr">
        <is>
          <t>筋力増強運動, DVT予防, ポジショニング, 自主運動指導, 術後リハビリテーションのオリエンテーション</t>
        </is>
      </c>
      <c r="L170" s="3" t="inlineStr">
        <is>
          <t>全症例の25％〜49％程度</t>
        </is>
      </c>
      <c r="N170" s="3" t="inlineStr">
        <is>
          <t>全症例の25％〜49％程度</t>
        </is>
      </c>
      <c r="P170" s="3" t="inlineStr">
        <is>
          <t>全症例の0％〜24％程度</t>
        </is>
      </c>
      <c r="R170" s="3" t="inlineStr">
        <is>
          <t>全症例の0％〜24％程度</t>
        </is>
      </c>
      <c r="T170" s="3" t="inlineStr">
        <is>
          <t>握力, 膝伸展筋力, 歩行速度, TUG, 下腿周径, MNA-SF</t>
        </is>
      </c>
      <c r="V170" s="3" t="inlineStr">
        <is>
          <t>TUG, 認知機能, MNA-SF, 握力</t>
        </is>
      </c>
      <c r="X170" s="3" t="inlineStr">
        <is>
          <t>立ち上がりテスト</t>
        </is>
      </c>
      <c r="Z170" s="3" t="inlineStr">
        <is>
          <t>Barthel Index（BI）, FIM</t>
        </is>
      </c>
      <c r="AB170" s="3" t="inlineStr">
        <is>
          <t>MMSE, HDS-R</t>
        </is>
      </c>
      <c r="AD170" s="3" t="inlineStr">
        <is>
          <t>TUG, 10m歩行速度, 認知機能, 過去の転倒歴, ベッド周囲および病室環境</t>
        </is>
      </c>
      <c r="AF170" s="3" t="inlineStr">
        <is>
          <t>決まっていない</t>
        </is>
      </c>
      <c r="AH170" s="3" t="inlineStr">
        <is>
          <t>症例ごとに術後の状況、安静度、元々のADL等が違うため一律の評価は決められない</t>
        </is>
      </c>
      <c r="AI170" s="3" t="inlineStr">
        <is>
          <t>下肢筋力強化, バランス練習, 歩行練習, 起立、着座動作練習, 環境調整, 認知面への介入, 教育、指導</t>
        </is>
      </c>
    </row>
    <row r="171" ht="22.5" customHeight="1">
      <c r="A171" s="32" t="n">
        <v>46100.40917880787</v>
      </c>
      <c r="B171" s="3" t="inlineStr">
        <is>
          <t>松田英樹</t>
        </is>
      </c>
      <c r="C171" s="3" t="inlineStr">
        <is>
          <t>京都岡本記念病院</t>
        </is>
      </c>
      <c r="D171" s="3" t="inlineStr">
        <is>
          <t>京都府</t>
        </is>
      </c>
      <c r="E171" s="3" t="inlineStr">
        <is>
          <t>hiroyuki_tago@okamoto-hp.or.jp</t>
        </is>
      </c>
      <c r="F171" s="3" t="inlineStr">
        <is>
          <t>リハビリテーション部/部長</t>
        </is>
      </c>
      <c r="G171" s="3" t="n">
        <v>306</v>
      </c>
      <c r="H171" s="3" t="n">
        <v>14</v>
      </c>
      <c r="I171" s="3" t="n">
        <v>5</v>
      </c>
      <c r="J171" s="3" t="inlineStr">
        <is>
          <t>届け出をしておらず、検討もしていない</t>
        </is>
      </c>
      <c r="K171" s="3" t="inlineStr">
        <is>
          <t>関節可動域運動, 筋力増強運動, 呼吸リハビリテーション, DVT予防, リラクセーション, ポジショニング, 自主運動指導, 術後リハビリテーションのオリエンテーション, 離床（例：車椅子移乗,立位,歩行など）</t>
        </is>
      </c>
      <c r="L171" s="3" t="inlineStr">
        <is>
          <t>全症例の0％〜24％程度</t>
        </is>
      </c>
      <c r="N171" s="3" t="inlineStr">
        <is>
          <t>全症例の0％〜24％程度</t>
        </is>
      </c>
      <c r="P171" s="3" t="inlineStr">
        <is>
          <t>全症例の0％〜24％程度</t>
        </is>
      </c>
      <c r="R171" s="3" t="inlineStr">
        <is>
          <t>全症例の0％〜24％程度</t>
        </is>
      </c>
      <c r="T171" s="3" t="inlineStr">
        <is>
          <t>握力, 膝伸展筋力, 5回椅子立ち上がりテスト, 歩行速度, SPPB, TUG, 6分間歩行距離, 開眼片脚立位時間, 骨格筋量指数（SMI）, 下腿周径, SARC-F, GNRI</t>
        </is>
      </c>
      <c r="V171" s="3" t="inlineStr">
        <is>
          <t>J-CHS基準, TUG, 6分間歩行距離, 認知機能, 抑うつや意欲低下, GNRI, 握力</t>
        </is>
      </c>
      <c r="X171" s="3" t="inlineStr">
        <is>
          <t>立ち上がりテスト</t>
        </is>
      </c>
      <c r="Z171" s="3" t="inlineStr">
        <is>
          <t>Barthel Index（BI）, FIM</t>
        </is>
      </c>
      <c r="AB171" s="3" t="inlineStr">
        <is>
          <t>MMSE, HDS-R, MoCA</t>
        </is>
      </c>
      <c r="AD171" s="3" t="inlineStr">
        <is>
          <t>ベッド周囲および病室環境, 実施していない</t>
        </is>
      </c>
      <c r="AE171" s="3" t="inlineStr">
        <is>
          <t>部内ではしているが、施設内の定めはない</t>
        </is>
      </c>
      <c r="AI171" s="3" t="inlineStr">
        <is>
          <t>下肢筋力強化, バランス練習, 歩行練習, 歩容改善, 起立、着座動作練習, 環境調整, 補助具、装具の適正化, 認知面への介入, 行動面への介入, 薬剤調整, 教育、指導</t>
        </is>
      </c>
    </row>
    <row r="172" ht="22.5" customHeight="1">
      <c r="A172" s="32" t="n">
        <v>46100.59355609953</v>
      </c>
      <c r="B172" s="3" t="inlineStr">
        <is>
          <t>高橋　伸寿</t>
        </is>
      </c>
      <c r="C172" s="3" t="inlineStr">
        <is>
          <t>独立行政法人国立病院機構静岡医療センター</t>
        </is>
      </c>
      <c r="D172" s="3" t="inlineStr">
        <is>
          <t>静岡県</t>
        </is>
      </c>
      <c r="E172" s="3" t="inlineStr">
        <is>
          <t>takahashi.nobuhisa.bm@mail.hosp.go.jp</t>
        </is>
      </c>
      <c r="F172" s="3" t="inlineStr">
        <is>
          <t>リハビリテーション科/理学療法士</t>
        </is>
      </c>
      <c r="G172" s="3" t="n">
        <v>193</v>
      </c>
      <c r="H172" s="3" t="n">
        <v>3</v>
      </c>
      <c r="I172" s="3" t="n">
        <v>2</v>
      </c>
      <c r="J172" s="3" t="inlineStr">
        <is>
          <t>届け出をしておらず、検討もしていない</t>
        </is>
      </c>
      <c r="K172" s="3" t="inlineStr">
        <is>
          <t>DVT予防, ポジショニング, 自主運動指導, 術後リハビリテーションのオリエンテーション</t>
        </is>
      </c>
      <c r="L172" s="3" t="inlineStr">
        <is>
          <t>全症例の50％〜74％程度</t>
        </is>
      </c>
      <c r="M172" s="3" t="inlineStr">
        <is>
          <t>介助の際は疼痛に注意する</t>
        </is>
      </c>
      <c r="N172" s="3" t="inlineStr">
        <is>
          <t>全症例の50％〜74％程度</t>
        </is>
      </c>
      <c r="O172" s="3" t="inlineStr">
        <is>
          <t>傾聴し納得されるように促す</t>
        </is>
      </c>
      <c r="P172" s="3" t="inlineStr">
        <is>
          <t>全症例の25％〜49％程度</t>
        </is>
      </c>
      <c r="R172" s="3" t="inlineStr">
        <is>
          <t>全症例の75％〜100％程度</t>
        </is>
      </c>
      <c r="S172" s="3" t="inlineStr">
        <is>
          <t>介助の際に障害になる場合は環境を整える。患者様から環境面での要望がある際は改善に努める。</t>
        </is>
      </c>
      <c r="T172" s="3" t="inlineStr">
        <is>
          <t>握力, 膝伸展筋力</t>
        </is>
      </c>
      <c r="V172" s="3" t="inlineStr">
        <is>
          <t>握力</t>
        </is>
      </c>
      <c r="X172" s="3" t="inlineStr">
        <is>
          <t>実施していない</t>
        </is>
      </c>
      <c r="Y172" s="3" t="inlineStr">
        <is>
          <t>立ち上がり、2ステップテストが実施できる患者様が少ないため。</t>
        </is>
      </c>
      <c r="Z172" s="3" t="inlineStr">
        <is>
          <t>FIM</t>
        </is>
      </c>
      <c r="AB172" s="3" t="inlineStr">
        <is>
          <t>HDS-R</t>
        </is>
      </c>
      <c r="AD172" s="3" t="inlineStr">
        <is>
          <t>開眼片脚立位時間, せん妄, 転倒恐怖感, 過去の転倒歴</t>
        </is>
      </c>
      <c r="AF172" s="3" t="inlineStr">
        <is>
          <t>決まっていない</t>
        </is>
      </c>
      <c r="AI172" s="3" t="inlineStr">
        <is>
          <t>バランス練習, 歩行練習, 歩容改善, 起立、着座動作練習, 補助具、装具の適正化, 教育、指導</t>
        </is>
      </c>
    </row>
    <row r="173" ht="22.5" customHeight="1">
      <c r="A173" s="32" t="n">
        <v>46100.59730770833</v>
      </c>
      <c r="B173" s="3" t="inlineStr">
        <is>
          <t>遠藤　知恵</t>
        </is>
      </c>
      <c r="C173" s="3" t="inlineStr">
        <is>
          <t>社会医療法人　康陽会　中嶋病院</t>
        </is>
      </c>
      <c r="D173" s="3" t="inlineStr">
        <is>
          <t>宮城県</t>
        </is>
      </c>
      <c r="E173" s="3" t="inlineStr">
        <is>
          <t>rehabili@nakajima-hs.or.jp</t>
        </is>
      </c>
      <c r="G173" s="3" t="n">
        <v>826</v>
      </c>
      <c r="H173" s="3" t="n">
        <v>48</v>
      </c>
      <c r="I173" s="3" t="n">
        <v>34</v>
      </c>
      <c r="J173" s="3" t="inlineStr">
        <is>
          <t>届け出はしていないが、現在検討中である</t>
        </is>
      </c>
      <c r="K173" s="3" t="inlineStr">
        <is>
          <t>関節可動域運動, 筋力増強運動, 呼吸リハビリテーション, DVT予防, ポジショニング, 自主運動指導, 術後リハビリテーションのオリエンテーション</t>
        </is>
      </c>
      <c r="L173" s="3" t="inlineStr">
        <is>
          <t>全症例の0％〜24％程度</t>
        </is>
      </c>
      <c r="N173" s="3" t="inlineStr">
        <is>
          <t>全症例の0％〜24％程度</t>
        </is>
      </c>
      <c r="P173" s="3" t="inlineStr">
        <is>
          <t>全症例の0％〜24％程度</t>
        </is>
      </c>
      <c r="R173" s="3" t="inlineStr">
        <is>
          <t>全症例の0％〜24％程度</t>
        </is>
      </c>
      <c r="T173" s="3" t="inlineStr">
        <is>
          <t>膝伸展筋力, 骨格筋量指数（SMI）</t>
        </is>
      </c>
      <c r="V173" s="3" t="inlineStr">
        <is>
          <t>認知機能</t>
        </is>
      </c>
      <c r="X173" s="3" t="inlineStr">
        <is>
          <t>実施していない</t>
        </is>
      </c>
      <c r="Y173" s="3" t="inlineStr">
        <is>
          <t>他の評価で対応しているため</t>
        </is>
      </c>
      <c r="Z173" s="3" t="inlineStr">
        <is>
          <t>Barthel Index（BI）</t>
        </is>
      </c>
      <c r="AB173" s="3" t="inlineStr">
        <is>
          <t>HDS-R, AMTS</t>
        </is>
      </c>
      <c r="AD173" s="3" t="inlineStr">
        <is>
          <t>定量的な下肢筋力測定, Berg Balance Scale（BBS）, 認知機能, 注意障害, せん妄, 過去の転倒歴, 既往疾患の有無（脳血管疾患、パーキンソン病など）, 薬剤（向精神薬、降圧薬、利尿薬、ポリファーマシーなど）, ベッド周囲および病室環境</t>
        </is>
      </c>
      <c r="AF173" s="3" t="inlineStr">
        <is>
          <t>決まっていない</t>
        </is>
      </c>
      <c r="AH173" s="3" t="inlineStr">
        <is>
          <t>決まってはいないが、凡そ術後初回に行うことが多い</t>
        </is>
      </c>
      <c r="AI173" s="3" t="inlineStr">
        <is>
          <t>下肢筋力強化, バランス練習, 歩行練習, 歩容改善, 起立、着座動作練習, 環境調整, 補助具、装具の適正化, 認知面への介入, 行動面への介入, 薬剤調整, 教育、指導</t>
        </is>
      </c>
    </row>
    <row r="174" ht="22.5" customHeight="1">
      <c r="A174" s="32" t="n">
        <v>46100.64269668981</v>
      </c>
      <c r="B174" s="3" t="inlineStr">
        <is>
          <t>深谷　大輔</t>
        </is>
      </c>
      <c r="C174" s="3" t="inlineStr">
        <is>
          <t>社会医療法人社団光仁会　総合守谷第一病院</t>
        </is>
      </c>
      <c r="D174" s="3" t="inlineStr">
        <is>
          <t>茨城県</t>
        </is>
      </c>
      <c r="E174" s="3" t="inlineStr">
        <is>
          <t>fullmetalpt0423@gmail.com</t>
        </is>
      </c>
      <c r="F174" s="3" t="inlineStr">
        <is>
          <t>総合リハビリテーション室／理学療法士</t>
        </is>
      </c>
      <c r="G174" s="3" t="n">
        <v>58</v>
      </c>
      <c r="H174" s="3" t="n">
        <v>16</v>
      </c>
      <c r="I174" s="3" t="n">
        <v>6</v>
      </c>
      <c r="J174" s="3" t="inlineStr">
        <is>
          <t>現在、算定している</t>
        </is>
      </c>
      <c r="K174" s="3" t="inlineStr">
        <is>
          <t>関節可動域運動, 筋力増強運動, DVT予防, 自主運動指導, 術後リハビリテーションのオリエンテーション</t>
        </is>
      </c>
      <c r="L174" s="3" t="inlineStr">
        <is>
          <t>全症例の0％〜24％程度</t>
        </is>
      </c>
      <c r="N174" s="3" t="inlineStr">
        <is>
          <t>全症例の0％〜24％程度</t>
        </is>
      </c>
      <c r="P174" s="3" t="inlineStr">
        <is>
          <t>全症例の0％〜24％程度</t>
        </is>
      </c>
      <c r="R174" s="3" t="inlineStr">
        <is>
          <t>全症例の0％〜24％程度</t>
        </is>
      </c>
      <c r="T174" s="3" t="inlineStr">
        <is>
          <t>握力, 5回椅子立ち上がりテスト, TUG, 下腿周径</t>
        </is>
      </c>
      <c r="V174" s="3" t="inlineStr">
        <is>
          <t>TUG, 握力</t>
        </is>
      </c>
      <c r="X174" s="3" t="inlineStr">
        <is>
          <t>立ち上がりテスト</t>
        </is>
      </c>
      <c r="Z174" s="3" t="inlineStr">
        <is>
          <t>Barthel Index（BI）</t>
        </is>
      </c>
      <c r="AB174" s="3" t="inlineStr">
        <is>
          <t>MMSE, HDS-R, AMTS</t>
        </is>
      </c>
      <c r="AD174" s="3" t="inlineStr">
        <is>
          <t>TUG, 5回椅子立ち上がりテスト</t>
        </is>
      </c>
      <c r="AF174" s="3" t="inlineStr">
        <is>
          <t>決まっている</t>
        </is>
      </c>
      <c r="AG174" s="3" t="inlineStr">
        <is>
          <t>退院時</t>
        </is>
      </c>
      <c r="AI174" s="3" t="inlineStr">
        <is>
          <t>下肢筋力強化, バランス練習, 歩行練習, 歩容改善, 起立、着座動作練習, 環境調整, 補助具、装具の適正化, 教育、指導</t>
        </is>
      </c>
    </row>
    <row r="175" ht="22.5" customHeight="1">
      <c r="A175" s="32" t="n">
        <v>46100.64787122685</v>
      </c>
      <c r="B175" s="3" t="inlineStr">
        <is>
          <t>嘉数　美千代</t>
        </is>
      </c>
      <c r="C175" s="3" t="inlineStr">
        <is>
          <t>沖縄県立中部病院</t>
        </is>
      </c>
      <c r="D175" s="3" t="inlineStr">
        <is>
          <t>沖縄県</t>
        </is>
      </c>
      <c r="E175" s="3" t="inlineStr">
        <is>
          <t>kakazu_michiyo@hosp.pref.okinawa.jp</t>
        </is>
      </c>
      <c r="F175" s="3" t="inlineStr">
        <is>
          <t>理学療法士</t>
        </is>
      </c>
      <c r="G175" s="3" t="n">
        <v>996</v>
      </c>
      <c r="H175" s="3" t="n">
        <v>12</v>
      </c>
      <c r="I175" s="3" t="n">
        <v>2</v>
      </c>
      <c r="J175" s="3" t="inlineStr">
        <is>
          <t>届け出はしていないが、現在検討中である</t>
        </is>
      </c>
      <c r="K175" s="3" t="inlineStr">
        <is>
          <t>筋力増強運動, 自主運動指導, 離床（例：車椅子移乗,立位,歩行など）</t>
        </is>
      </c>
      <c r="L175" s="3" t="inlineStr">
        <is>
          <t>全症例の0％〜24％程度</t>
        </is>
      </c>
      <c r="N175" s="3" t="inlineStr">
        <is>
          <t>全症例の0％〜24％程度</t>
        </is>
      </c>
      <c r="P175" s="3" t="inlineStr">
        <is>
          <t>全症例の0％〜24％程度</t>
        </is>
      </c>
      <c r="R175" s="3" t="inlineStr">
        <is>
          <t>全症例の0％〜24％程度</t>
        </is>
      </c>
      <c r="T175" s="3" t="inlineStr">
        <is>
          <t>握力, 膝伸展筋力, 5回椅子立ち上がりテスト, 歩行速度, SPPB</t>
        </is>
      </c>
      <c r="V175" s="3" t="inlineStr">
        <is>
          <t>認知機能, 握力</t>
        </is>
      </c>
      <c r="X175" s="3" t="inlineStr">
        <is>
          <t>実施していない</t>
        </is>
      </c>
      <c r="Y175" s="3" t="inlineStr">
        <is>
          <t>特にロコモテストをするわけではなく問題となりそうであれば必要な評価を行う形です</t>
        </is>
      </c>
      <c r="Z175" s="3" t="inlineStr">
        <is>
          <t>FIM</t>
        </is>
      </c>
      <c r="AB175" s="3" t="inlineStr">
        <is>
          <t>MMSE, HDS-R, MoCA</t>
        </is>
      </c>
      <c r="AD175" s="3" t="inlineStr">
        <is>
          <t>定量的な下肢筋力測定, 開眼片脚立位時間, TUG, 10m歩行速度, Berg Balance Scale（BBS）, SPPB、Functional Reach Test（FRT）, 5回椅子立ち上がりテスト, 深部感覚評価, 認知機能, 注意障害, 遂行機能</t>
        </is>
      </c>
      <c r="AF175" s="3" t="inlineStr">
        <is>
          <t>決まっていない</t>
        </is>
      </c>
      <c r="AH175" s="3" t="inlineStr">
        <is>
          <t>担当セラピストが必要と感じた時</t>
        </is>
      </c>
      <c r="AI175" s="3" t="inlineStr">
        <is>
          <t>下肢筋力強化, バランス練習, 歩行練習, 歩容改善, 起立、着座動作練習, 環境調整, 補助具、装具の適正化, 行動面への介入, 教育、指導</t>
        </is>
      </c>
    </row>
    <row r="176" ht="22.5" customHeight="1">
      <c r="A176" s="32" t="n">
        <v>46100.69444653935</v>
      </c>
      <c r="B176" s="3" t="inlineStr">
        <is>
          <t>今井則之</t>
        </is>
      </c>
      <c r="C176" s="3" t="inlineStr">
        <is>
          <t>中津川市民病院</t>
        </is>
      </c>
      <c r="D176" s="3" t="inlineStr">
        <is>
          <t>岐阜県</t>
        </is>
      </c>
      <c r="E176" s="3" t="inlineStr">
        <is>
          <t>reha_hp@hosp.city.nakatsugawa.gifu.jp</t>
        </is>
      </c>
      <c r="F176" s="3" t="inlineStr">
        <is>
          <t>リハビリテーション技術科/理学療法士</t>
        </is>
      </c>
      <c r="G176" s="3" t="n">
        <v>214</v>
      </c>
      <c r="H176" s="3" t="n">
        <v>8</v>
      </c>
      <c r="I176" s="3" t="n">
        <v>0</v>
      </c>
      <c r="J176" s="3" t="inlineStr">
        <is>
          <t>届け出をしておらず、検討もしていない</t>
        </is>
      </c>
      <c r="K176" s="3" t="inlineStr">
        <is>
          <t>関節可動域運動, 筋力増強運動, 自主運動指導, 術後リハビリテーションのオリエンテーション, 離床（例：車椅子移乗,立位,歩行など）</t>
        </is>
      </c>
      <c r="L176" s="3" t="inlineStr">
        <is>
          <t>全症例の25％〜49％程度</t>
        </is>
      </c>
      <c r="N176" s="3" t="inlineStr">
        <is>
          <t>全症例の0％〜24％程度</t>
        </is>
      </c>
      <c r="P176" s="3" t="inlineStr">
        <is>
          <t>全症例の0％〜24％程度</t>
        </is>
      </c>
      <c r="R176" s="3" t="inlineStr">
        <is>
          <t>全症例の0％〜24％程度</t>
        </is>
      </c>
      <c r="T176" s="3" t="inlineStr">
        <is>
          <t>握力, 歩行速度, SPPB, TUG</t>
        </is>
      </c>
      <c r="V176" s="3" t="inlineStr">
        <is>
          <t>Frailty Index（累積欠損モデル）</t>
        </is>
      </c>
      <c r="X176" s="3" t="inlineStr">
        <is>
          <t>立ち上がりテスト</t>
        </is>
      </c>
      <c r="Z176" s="3" t="inlineStr">
        <is>
          <t>Barthel Index（BI）</t>
        </is>
      </c>
      <c r="AB176" s="3" t="inlineStr">
        <is>
          <t>MMSE, HDS-R</t>
        </is>
      </c>
      <c r="AD176" s="3" t="inlineStr">
        <is>
          <t>定量的な下肢筋力測定, TUG, 5回椅子立ち上がりテスト</t>
        </is>
      </c>
      <c r="AF176" s="3" t="inlineStr">
        <is>
          <t>決まっていない</t>
        </is>
      </c>
      <c r="AI176" s="3" t="inlineStr">
        <is>
          <t>下肢筋力強化, バランス練習, 歩行練習, 歩容改善, 起立、着座動作練習, 環境調整, 補助具、装具の適正化, 認知面への介入, 行動面への介入, 教育、指導</t>
        </is>
      </c>
    </row>
    <row r="177" ht="22.5" customHeight="1">
      <c r="A177" s="32" t="n">
        <v>46100.70649611111</v>
      </c>
      <c r="B177" s="3" t="inlineStr">
        <is>
          <t>理学療法士</t>
        </is>
      </c>
      <c r="C177" s="3" t="inlineStr">
        <is>
          <t>社会医療法人社団菊田会　習志野第一病院</t>
        </is>
      </c>
      <c r="D177" s="3" t="inlineStr">
        <is>
          <t>千葉県</t>
        </is>
      </c>
      <c r="E177" s="3" t="inlineStr">
        <is>
          <t>reha@naraichi.or.jp</t>
        </is>
      </c>
      <c r="F177" s="3" t="inlineStr">
        <is>
          <t>リハビリテーション科　理学療法士</t>
        </is>
      </c>
      <c r="G177" s="3" t="n">
        <v>683</v>
      </c>
      <c r="H177" s="3" t="n">
        <v>20</v>
      </c>
      <c r="I177" s="3" t="n">
        <v>4</v>
      </c>
      <c r="J177" s="3" t="inlineStr">
        <is>
          <t>届け出はしていないが、現在検討中である</t>
        </is>
      </c>
      <c r="K177" s="3" t="inlineStr">
        <is>
          <t>関節可動域運動, 筋力増強運動, DVT予防, 自主運動指導, 術後リハビリテーションのオリエンテーション</t>
        </is>
      </c>
      <c r="L177" s="3" t="inlineStr">
        <is>
          <t>全症例の25％〜49％程度</t>
        </is>
      </c>
      <c r="N177" s="3" t="inlineStr">
        <is>
          <t>全症例の0％〜24％程度</t>
        </is>
      </c>
      <c r="P177" s="3" t="inlineStr">
        <is>
          <t>全症例の0％〜24％程度</t>
        </is>
      </c>
      <c r="R177" s="3" t="inlineStr">
        <is>
          <t>全症例の0％〜24％程度</t>
        </is>
      </c>
      <c r="T177" s="3" t="inlineStr">
        <is>
          <t>握力</t>
        </is>
      </c>
      <c r="V177" s="3" t="inlineStr">
        <is>
          <t>握力</t>
        </is>
      </c>
      <c r="X177" s="3" t="inlineStr">
        <is>
          <t>実施していない</t>
        </is>
      </c>
      <c r="Z177" s="3" t="inlineStr">
        <is>
          <t>Barthel Index（BI）, FIM</t>
        </is>
      </c>
      <c r="AB177" s="3" t="inlineStr">
        <is>
          <t>HDS-R</t>
        </is>
      </c>
      <c r="AD177" s="3" t="inlineStr">
        <is>
          <t>SPPB、Functional Reach Test（FRT）, 過去の転倒歴</t>
        </is>
      </c>
      <c r="AF177" s="3" t="inlineStr">
        <is>
          <t>決まっていない</t>
        </is>
      </c>
      <c r="AI177" s="3" t="inlineStr">
        <is>
          <t>下肢筋力強化, バランス練習, 歩行練習, 歩容改善, 起立、着座動作練習, 環境調整, 補助具、装具の適正化, 教育、指導</t>
        </is>
      </c>
    </row>
    <row r="178" ht="22.5" customHeight="1">
      <c r="A178" s="32" t="n">
        <v>46100.86547503472</v>
      </c>
      <c r="B178" s="3" t="inlineStr">
        <is>
          <t>伊東正嗣</t>
        </is>
      </c>
      <c r="C178" s="3" t="inlineStr">
        <is>
          <t>一般財団法人大原記念財団　大原綜合病院</t>
        </is>
      </c>
      <c r="D178" s="3" t="inlineStr">
        <is>
          <t>福島県</t>
        </is>
      </c>
      <c r="E178" s="3" t="inlineStr">
        <is>
          <t>m-ito@ohara-hp.or.jp</t>
        </is>
      </c>
      <c r="F178" s="3" t="inlineStr">
        <is>
          <t>診療リハビリテーション科／理学療法士</t>
        </is>
      </c>
      <c r="G178" s="3" t="n">
        <v>112</v>
      </c>
      <c r="H178" s="3" t="n">
        <v>21</v>
      </c>
      <c r="I178" s="3" t="n">
        <v>0</v>
      </c>
      <c r="J178" s="3" t="inlineStr">
        <is>
          <t>届け出はしていないが、現在検討中である</t>
        </is>
      </c>
      <c r="K178" s="3" t="inlineStr">
        <is>
          <t>関節可動域運動, 筋力増強運動, DVT予防, リラクセーション, ポジショニング, 自主運動指導, 術後リハビリテーションのオリエンテーション, 離床（例：車椅子移乗,立位,歩行など）</t>
        </is>
      </c>
      <c r="L178" s="3" t="inlineStr">
        <is>
          <t>全症例の75％〜100％程度</t>
        </is>
      </c>
      <c r="N178" s="3" t="inlineStr">
        <is>
          <t>全症例の75％〜100％程度</t>
        </is>
      </c>
      <c r="P178" s="3" t="inlineStr">
        <is>
          <t>全症例の75％〜100％程度</t>
        </is>
      </c>
      <c r="R178" s="3" t="inlineStr">
        <is>
          <t>全症例の75％〜100％程度</t>
        </is>
      </c>
      <c r="S178" s="3" t="inlineStr">
        <is>
          <t>Q6～9について、当院のクリニカルパスで術後翌日のメニューは端座位までと設定している。よって様々な原因を問わず、立位まで行う例はごくわずか。</t>
        </is>
      </c>
      <c r="T178" s="3" t="inlineStr">
        <is>
          <t>実施していない</t>
        </is>
      </c>
      <c r="U178" s="3" t="inlineStr">
        <is>
          <t>後述の転倒リスク評価を実施しているため、サルコペニアという観点では評価していない。</t>
        </is>
      </c>
      <c r="V178" s="3" t="inlineStr">
        <is>
          <t>実施していない</t>
        </is>
      </c>
      <c r="W178" s="3" t="inlineStr">
        <is>
          <t>後述の転倒リスク評価を実施しているため、フレイルという観点では評価していない。</t>
        </is>
      </c>
      <c r="X178" s="3" t="inlineStr">
        <is>
          <t>実施していない</t>
        </is>
      </c>
      <c r="Y178" s="3" t="inlineStr">
        <is>
          <t>後述の転倒リスク評価を実施しているため、ロコモティブシンドロームという観点では評価していない。</t>
        </is>
      </c>
      <c r="Z178" s="3" t="inlineStr">
        <is>
          <t>Barthel Index（BI）</t>
        </is>
      </c>
      <c r="AB178" s="3" t="inlineStr">
        <is>
          <t>HDS-R</t>
        </is>
      </c>
      <c r="AD178" s="3" t="inlineStr">
        <is>
          <t>開眼片脚立位時間, TUG, 10m歩行速度, 5回椅子立ち上がりテスト, 握力</t>
        </is>
      </c>
      <c r="AF178" s="3" t="inlineStr">
        <is>
          <t>決まっていない</t>
        </is>
      </c>
      <c r="AG178" s="3" t="inlineStr">
        <is>
          <t>初回は術後７日目。以後4週まで1週ごとに評価。</t>
        </is>
      </c>
      <c r="AI178" s="3" t="inlineStr">
        <is>
          <t>下肢筋力強化, バランス練習, 歩行練習, 歩容改善, 起立、着座動作練習, 環境調整, 補助具、装具の適正化, 認知面への介入, 行動面への介入, 教育、指導</t>
        </is>
      </c>
    </row>
    <row r="179" ht="22.5" customHeight="1">
      <c r="A179" s="32" t="n">
        <v>46101.33994768518</v>
      </c>
      <c r="B179" s="3" t="inlineStr">
        <is>
          <t>青山　幸恵</t>
        </is>
      </c>
      <c r="C179" s="3" t="inlineStr">
        <is>
          <t>独立行政法人国立病院機構　豊橋医療センター</t>
        </is>
      </c>
      <c r="D179" s="3" t="inlineStr">
        <is>
          <t>愛知県</t>
        </is>
      </c>
      <c r="E179" s="3" t="inlineStr">
        <is>
          <t>31saboc79chi@gmail.com</t>
        </is>
      </c>
      <c r="F179" s="3" t="inlineStr">
        <is>
          <t>リハビリテーション科　作業療法士</t>
        </is>
      </c>
      <c r="G179" s="3" t="n">
        <v>231</v>
      </c>
      <c r="H179" s="3" t="n">
        <v>9</v>
      </c>
      <c r="I179" s="3" t="n">
        <v>5</v>
      </c>
      <c r="J179" s="3" t="inlineStr">
        <is>
          <t>届け出をしておらず、検討もしていない</t>
        </is>
      </c>
      <c r="K179" s="3" t="inlineStr">
        <is>
          <t>実施していない</t>
        </is>
      </c>
      <c r="L179" s="3" t="inlineStr">
        <is>
          <t>全症例の25％〜49％程度</t>
        </is>
      </c>
      <c r="N179" s="3" t="inlineStr">
        <is>
          <t>全症例の0％〜24％程度</t>
        </is>
      </c>
      <c r="P179" s="3" t="inlineStr">
        <is>
          <t>全症例の25％〜49％程度</t>
        </is>
      </c>
      <c r="R179" s="3" t="inlineStr">
        <is>
          <t>全症例の25％〜49％程度</t>
        </is>
      </c>
      <c r="T179" s="3" t="inlineStr">
        <is>
          <t>握力</t>
        </is>
      </c>
      <c r="V179" s="3" t="inlineStr">
        <is>
          <t>認知機能, 握力</t>
        </is>
      </c>
      <c r="X179" s="3" t="inlineStr">
        <is>
          <t>実施していない</t>
        </is>
      </c>
      <c r="Y179" s="3" t="inlineStr">
        <is>
          <t>術後介入開始であり、評価を実施できる身体的機能がない。</t>
        </is>
      </c>
      <c r="Z179" s="3" t="inlineStr">
        <is>
          <t>Barthel Index（BI）, FIM</t>
        </is>
      </c>
      <c r="AB179" s="3" t="inlineStr">
        <is>
          <t>MMSE, HDS-R, AMTS</t>
        </is>
      </c>
      <c r="AD179" s="3" t="inlineStr">
        <is>
          <t>認知機能, 注意障害, 過去の転倒歴, 既往疾患の有無（脳血管疾患、パーキンソン病など）, 転倒リスク評価表</t>
        </is>
      </c>
      <c r="AF179" s="3" t="inlineStr">
        <is>
          <t>決まっていない</t>
        </is>
      </c>
      <c r="AH179" s="3" t="inlineStr">
        <is>
          <t>疼痛や睡眠不足などがあり、評価に応じられない状態があるため体調に合わせて実施する。</t>
        </is>
      </c>
      <c r="AI179" s="3" t="inlineStr">
        <is>
          <t>下肢筋力強化, バランス練習, 歩行練習, 歩容改善, 起立、着座動作練習, 環境調整, 補助具、装具の適正化, 認知面への介入, 行動面への介入, 教育、指導</t>
        </is>
      </c>
    </row>
    <row r="180" ht="22.5" customHeight="1">
      <c r="A180" s="32" t="n">
        <v>46101.43387967593</v>
      </c>
      <c r="B180" s="3" t="inlineStr">
        <is>
          <t>前田 大輔</t>
        </is>
      </c>
      <c r="C180" s="3" t="inlineStr">
        <is>
          <t>社会医療法人 弘道会 守口生野記念病院</t>
        </is>
      </c>
      <c r="D180" s="3" t="inlineStr">
        <is>
          <t>大阪府</t>
        </is>
      </c>
      <c r="E180" s="3" t="inlineStr">
        <is>
          <t>qiantiandafu8@gmail.com</t>
        </is>
      </c>
      <c r="F180" s="3" t="inlineStr">
        <is>
          <t>リハビリテーション科/作業療法士</t>
        </is>
      </c>
      <c r="G180" s="3" t="n">
        <v>169</v>
      </c>
      <c r="H180" s="3" t="n">
        <v>6</v>
      </c>
      <c r="I180" s="3" t="n">
        <v>1</v>
      </c>
      <c r="J180" s="3" t="inlineStr">
        <is>
          <t>現在、算定している</t>
        </is>
      </c>
      <c r="K180" s="3" t="inlineStr">
        <is>
          <t>関節可動域運動, DVT予防, リラクセーション, ポジショニング, 術後リハビリテーションのオリエンテーション, 離床（例：車椅子移乗,立位,歩行など）</t>
        </is>
      </c>
      <c r="L180" s="3" t="inlineStr">
        <is>
          <t>全症例の25％〜49％程度</t>
        </is>
      </c>
      <c r="N180" s="3" t="inlineStr">
        <is>
          <t>全症例の25％〜49％程度</t>
        </is>
      </c>
      <c r="P180" s="3" t="inlineStr">
        <is>
          <t>全症例の0％〜24％程度</t>
        </is>
      </c>
      <c r="R180" s="3" t="inlineStr">
        <is>
          <t>全症例の0％〜24％程度</t>
        </is>
      </c>
      <c r="T180" s="3" t="inlineStr">
        <is>
          <t>膝伸展筋力, 5回椅子立ち上がりテスト, 歩行速度, TUG, 6分間歩行距離</t>
        </is>
      </c>
      <c r="V180" s="3" t="inlineStr">
        <is>
          <t>TUG, 6分間歩行距離, 認知機能, 握力</t>
        </is>
      </c>
      <c r="X180" s="3" t="inlineStr">
        <is>
          <t>立ち上がりテスト</t>
        </is>
      </c>
      <c r="Z180" s="3" t="inlineStr">
        <is>
          <t>Barthel Index（BI）, FIM</t>
        </is>
      </c>
      <c r="AB180" s="3" t="inlineStr">
        <is>
          <t>MMSE, HDS-R, AMTS</t>
        </is>
      </c>
      <c r="AD180" s="3" t="inlineStr">
        <is>
          <t>定量的な下肢筋力測定, TUG, 10m歩行速度, 深部感覚評価, 認知機能, 注意障害, 遂行機能, せん妄, 過去の転倒歴, 既往疾患の有無（脳血管疾患、パーキンソン病など）</t>
        </is>
      </c>
      <c r="AF180" s="3" t="inlineStr">
        <is>
          <t>決まっている</t>
        </is>
      </c>
      <c r="AG180" s="3" t="inlineStr">
        <is>
          <t>術翌日と退院前</t>
        </is>
      </c>
      <c r="AI180" s="3" t="inlineStr">
        <is>
          <t>下肢筋力強化, バランス練習, 歩行練習, 環境調整, 認知面への介入, 教育、指導</t>
        </is>
      </c>
    </row>
    <row r="181" ht="22.5" customHeight="1">
      <c r="A181" s="32" t="n">
        <v>46101.71315163194</v>
      </c>
      <c r="B181" s="3" t="inlineStr">
        <is>
          <t>吉田駿</t>
        </is>
      </c>
      <c r="C181" s="3" t="inlineStr">
        <is>
          <t>JCHO金沢病院</t>
        </is>
      </c>
      <c r="D181" s="3" t="inlineStr">
        <is>
          <t>石川県</t>
        </is>
      </c>
      <c r="E181" s="3" t="inlineStr">
        <is>
          <t>yoshida-shun@kanazawa.jcho.go.jp</t>
        </is>
      </c>
      <c r="F181" s="3" t="inlineStr">
        <is>
          <t>リハビリテーション科/理学療法士</t>
        </is>
      </c>
      <c r="G181" s="3" t="n">
        <v>110</v>
      </c>
      <c r="H181" s="3" t="n">
        <v>17</v>
      </c>
      <c r="I181" s="3" t="n">
        <v>12</v>
      </c>
      <c r="J181" s="3" t="inlineStr">
        <is>
          <t>届け出をしておらず、検討もしていない</t>
        </is>
      </c>
      <c r="K181" s="3" t="inlineStr">
        <is>
          <t>関節可動域運動, 呼吸リハビリテーション, ポジショニング, 術後リハビリテーションのオリエンテーション</t>
        </is>
      </c>
      <c r="L181" s="3" t="inlineStr">
        <is>
          <t>全症例の75％〜100％程度</t>
        </is>
      </c>
      <c r="M181" s="3" t="inlineStr">
        <is>
          <t>物理療法（電気超音波複合療法）</t>
        </is>
      </c>
      <c r="N181" s="3" t="inlineStr">
        <is>
          <t>全症例の25％〜49％程度</t>
        </is>
      </c>
      <c r="P181" s="3" t="inlineStr">
        <is>
          <t>全症例の25％〜49％程度</t>
        </is>
      </c>
      <c r="R181" s="3" t="inlineStr">
        <is>
          <t>全症例の0％〜24％程度</t>
        </is>
      </c>
      <c r="T181" s="3" t="inlineStr">
        <is>
          <t>握力, 5回椅子立ち上がりテスト, 歩行速度, SPPB</t>
        </is>
      </c>
      <c r="V181" s="3" t="inlineStr">
        <is>
          <t>認知機能, 握力</t>
        </is>
      </c>
      <c r="X181" s="3" t="inlineStr">
        <is>
          <t>実施していない</t>
        </is>
      </c>
      <c r="Y181" s="3" t="inlineStr">
        <is>
          <t>超高齢者が多く、実施困難例が多いため。</t>
        </is>
      </c>
      <c r="Z181" s="3" t="inlineStr">
        <is>
          <t>Barthel Index（BI）</t>
        </is>
      </c>
      <c r="AB181" s="3" t="inlineStr">
        <is>
          <t>MMSE, AMTS</t>
        </is>
      </c>
      <c r="AD181" s="3" t="inlineStr">
        <is>
          <t>SPPB、Functional Reach Test（FRT）, 5回椅子立ち上がりテスト, 認知機能, せん妄, 過去の転倒歴, 既往疾患の有無（脳血管疾患、パーキンソン病など）, 薬剤（向精神薬、降圧薬、利尿薬、ポリファーマシーなど）, ベッド周囲および病室環境</t>
        </is>
      </c>
      <c r="AF181" s="3" t="inlineStr">
        <is>
          <t>決まっている</t>
        </is>
      </c>
      <c r="AG181" s="3" t="inlineStr">
        <is>
          <t>4～5日以内</t>
        </is>
      </c>
      <c r="AI181" s="3" t="inlineStr">
        <is>
          <t>下肢筋力強化, バランス練習, 歩行練習, 歩容改善, 起立、着座動作練習, 環境調整, 補助具、装具の適正化, 認知面への介入, 教育、指導</t>
        </is>
      </c>
    </row>
    <row r="182" ht="22.5" customHeight="1">
      <c r="A182" s="32" t="n">
        <v>46102.49096099537</v>
      </c>
      <c r="B182" s="3" t="inlineStr">
        <is>
          <t>鬼村厚志</t>
        </is>
      </c>
      <c r="C182" s="3" t="inlineStr">
        <is>
          <t>新武雄病院</t>
        </is>
      </c>
      <c r="D182" s="3" t="inlineStr">
        <is>
          <t>佐賀県</t>
        </is>
      </c>
      <c r="E182" s="3" t="inlineStr">
        <is>
          <t>yakushyoku.t-reha@shintakeo-hp.or.jp</t>
        </is>
      </c>
      <c r="F182" s="3" t="inlineStr">
        <is>
          <t>リハビリテーション科/理学療法士</t>
        </is>
      </c>
      <c r="G182" s="3" t="n">
        <v>160</v>
      </c>
      <c r="H182" s="3" t="n">
        <v>25</v>
      </c>
      <c r="I182" s="3" t="n">
        <v>14</v>
      </c>
      <c r="J182" s="3" t="inlineStr">
        <is>
          <t>届け出はしていないが、現在検討中である</t>
        </is>
      </c>
      <c r="K182" s="3" t="inlineStr">
        <is>
          <t>関節可動域運動, 筋力増強運動, 呼吸リハビリテーション, DVT予防, ポジショニング, 自主運動指導, 術後リハビリテーションのオリエンテーション</t>
        </is>
      </c>
      <c r="L182" s="3" t="inlineStr">
        <is>
          <t>全症例の0％〜24％程度</t>
        </is>
      </c>
      <c r="N182" s="3" t="inlineStr">
        <is>
          <t>全症例の0％〜24％程度</t>
        </is>
      </c>
      <c r="P182" s="3" t="inlineStr">
        <is>
          <t>全症例の0％〜24％程度</t>
        </is>
      </c>
      <c r="R182" s="3" t="inlineStr">
        <is>
          <t>全症例の0％〜24％程度</t>
        </is>
      </c>
      <c r="T182" s="3" t="inlineStr">
        <is>
          <t>握力, 膝伸展筋力, 下腿周径</t>
        </is>
      </c>
      <c r="V182" s="3" t="inlineStr">
        <is>
          <t>認知機能, 握力</t>
        </is>
      </c>
      <c r="X182" s="3" t="inlineStr">
        <is>
          <t>実施していない</t>
        </is>
      </c>
      <c r="Z182" s="3" t="inlineStr">
        <is>
          <t>Barthel Index（BI）</t>
        </is>
      </c>
      <c r="AB182" s="3" t="inlineStr">
        <is>
          <t>MMSE</t>
        </is>
      </c>
      <c r="AD182" s="3" t="inlineStr">
        <is>
          <t>定量的な下肢筋力測定, 認知機能, 過去の転倒歴, 既往疾患の有無（脳血管疾患、パーキンソン病など）, 薬剤（向精神薬、降圧薬、利尿薬、ポリファーマシーなど）, ベッド周囲および病室環境</t>
        </is>
      </c>
      <c r="AF182" s="3" t="inlineStr">
        <is>
          <t>決まっている</t>
        </is>
      </c>
      <c r="AG182" s="3" t="inlineStr">
        <is>
          <t>術後1日目に行い、その後1週間毎に行う。</t>
        </is>
      </c>
      <c r="AI182" s="3" t="inlineStr">
        <is>
          <t>下肢筋力強化, バランス練習, 歩行練習, 歩容改善, 起立、着座動作練習, 環境調整, 補助具、装具の適正化, 認知面への介入, 行動面への介入, 教育、指導</t>
        </is>
      </c>
    </row>
    <row r="183" ht="22.5" customHeight="1">
      <c r="A183" s="32" t="n">
        <v>46102.49109671296</v>
      </c>
      <c r="B183" s="3" t="inlineStr">
        <is>
          <t>山田賢一</t>
        </is>
      </c>
      <c r="C183" s="3" t="inlineStr">
        <is>
          <t>社会医療法人　守口生野記念病院</t>
        </is>
      </c>
      <c r="D183" s="3" t="inlineStr">
        <is>
          <t>大阪府</t>
        </is>
      </c>
      <c r="E183" s="3" t="inlineStr">
        <is>
          <t>moriguchi.ikuno.reha@gmail.com</t>
        </is>
      </c>
      <c r="F183" s="3" t="inlineStr">
        <is>
          <t>リハビリテーション科/理学療法士</t>
        </is>
      </c>
      <c r="G183" s="3" t="n">
        <v>169</v>
      </c>
      <c r="H183" s="3" t="n">
        <v>7</v>
      </c>
      <c r="I183" s="3" t="n">
        <v>3</v>
      </c>
      <c r="J183" s="3" t="inlineStr">
        <is>
          <t>届け出はしていないが、現在検討中である</t>
        </is>
      </c>
      <c r="K183" s="3" t="inlineStr">
        <is>
          <t>関節可動域運動, 筋力増強運動, DVT予防, リラクセーション, ポジショニング</t>
        </is>
      </c>
      <c r="L183" s="3" t="inlineStr">
        <is>
          <t>全症例の0％〜24％程度</t>
        </is>
      </c>
      <c r="N183" s="3" t="inlineStr">
        <is>
          <t>全症例の0％〜24％程度</t>
        </is>
      </c>
      <c r="P183" s="3" t="inlineStr">
        <is>
          <t>全症例の0％〜24％程度</t>
        </is>
      </c>
      <c r="R183" s="3" t="inlineStr">
        <is>
          <t>全症例の0％〜24％程度</t>
        </is>
      </c>
      <c r="T183" s="3" t="inlineStr">
        <is>
          <t>膝伸展筋力</t>
        </is>
      </c>
      <c r="V183" s="3" t="inlineStr">
        <is>
          <t>認知機能</t>
        </is>
      </c>
      <c r="X183" s="3" t="inlineStr">
        <is>
          <t>立ち上がりテスト</t>
        </is>
      </c>
      <c r="Z183" s="3" t="inlineStr">
        <is>
          <t>Barthel Index（BI）, FIM</t>
        </is>
      </c>
      <c r="AB183" s="3" t="inlineStr">
        <is>
          <t>AMTS</t>
        </is>
      </c>
      <c r="AD183" s="3" t="inlineStr">
        <is>
          <t>定量的な下肢筋力測定, 開眼片脚立位時間, TUG, Berg Balance Scale（BBS）</t>
        </is>
      </c>
      <c r="AF183" s="3" t="inlineStr">
        <is>
          <t>決まっていない</t>
        </is>
      </c>
      <c r="AH183" s="3" t="inlineStr">
        <is>
          <t>病棟歩行が可能かどうかの時に測定するので時期は決まってないです</t>
        </is>
      </c>
      <c r="AI183" s="3" t="inlineStr">
        <is>
          <t>下肢筋力強化, バランス練習, 歩行練習, 環境調整</t>
        </is>
      </c>
    </row>
    <row r="184" ht="22.5" customHeight="1">
      <c r="A184" s="32" t="n">
        <v>46102.52702710648</v>
      </c>
      <c r="B184" s="3" t="inlineStr">
        <is>
          <t>下田　啓介</t>
        </is>
      </c>
      <c r="C184" s="3" t="inlineStr">
        <is>
          <t>米盛病院</t>
        </is>
      </c>
      <c r="D184" s="3" t="inlineStr">
        <is>
          <t>鹿児島県</t>
        </is>
      </c>
      <c r="E184" s="3" t="inlineStr">
        <is>
          <t>keisuke.shimota@gmail.com</t>
        </is>
      </c>
      <c r="F184" s="3" t="inlineStr">
        <is>
          <t>リハビリテーション部／理学療法士</t>
        </is>
      </c>
      <c r="G184" s="3" t="n">
        <v>606</v>
      </c>
      <c r="H184" s="3" t="n">
        <v>104</v>
      </c>
      <c r="I184" s="3" t="n">
        <v>10</v>
      </c>
      <c r="J184" s="3" t="inlineStr">
        <is>
          <t>現在、算定している</t>
        </is>
      </c>
      <c r="K184" s="3" t="inlineStr">
        <is>
          <t>関節可動域運動, 筋力増強運動, DVT予防, ポジショニング, 自主運動指導, 術後リハビリテーションのオリエンテーション</t>
        </is>
      </c>
      <c r="L184" s="3" t="inlineStr">
        <is>
          <t>全症例の25％〜49％程度</t>
        </is>
      </c>
      <c r="N184" s="3" t="inlineStr">
        <is>
          <t>全症例の0％〜24％程度</t>
        </is>
      </c>
      <c r="P184" s="3" t="inlineStr">
        <is>
          <t>全症例の0％〜24％程度</t>
        </is>
      </c>
      <c r="R184" s="3" t="inlineStr">
        <is>
          <t>全症例の0％〜24％程度</t>
        </is>
      </c>
      <c r="T184" s="3" t="inlineStr">
        <is>
          <t>握力, 5回椅子立ち上がりテスト, 歩行速度, SPPB, TUG, 開眼片脚立位時間, 下腿周径</t>
        </is>
      </c>
      <c r="V184" s="3" t="inlineStr">
        <is>
          <t>TUG, 認知機能, 握力</t>
        </is>
      </c>
      <c r="X184" s="3" t="inlineStr">
        <is>
          <t>実施していない</t>
        </is>
      </c>
      <c r="Y184" s="3" t="inlineStr">
        <is>
          <t>フレイル・サルコペニアの評価を実施しており、これ以上の評価項目の増加は患者負担・業務負担に繋がると考えているため。</t>
        </is>
      </c>
      <c r="Z184" s="3" t="inlineStr">
        <is>
          <t>Barthel Index（BI）, FIM</t>
        </is>
      </c>
      <c r="AB184" s="3" t="inlineStr">
        <is>
          <t>MMSE, AMTS</t>
        </is>
      </c>
      <c r="AD184" s="3" t="inlineStr">
        <is>
          <t>開眼片脚立位時間, TUG, 10m歩行速度, Berg Balance Scale（BBS）, SPPB、Functional Reach Test（FRT）, 5回椅子立ち上がりテスト, 認知機能, 過去の転倒歴, ベッド周囲および病室環境</t>
        </is>
      </c>
      <c r="AF184" s="3" t="inlineStr">
        <is>
          <t>決まっている</t>
        </is>
      </c>
      <c r="AG184" s="3" t="inlineStr">
        <is>
          <t>術後7日目、14日目、以降は2週間毎</t>
        </is>
      </c>
      <c r="AI184" s="3" t="inlineStr">
        <is>
          <t>下肢筋力強化, バランス練習, 歩行練習, 歩容改善, 起立、着座動作練習, 環境調整, 補助具、装具の適正化, 認知面への介入, 教育、指導</t>
        </is>
      </c>
    </row>
    <row r="185" ht="22.5" customHeight="1">
      <c r="A185" s="32" t="n">
        <v>46102.55046193287</v>
      </c>
      <c r="B185" s="3" t="inlineStr">
        <is>
          <t>湯浅 敦智</t>
        </is>
      </c>
      <c r="C185" s="3" t="inlineStr">
        <is>
          <t>市立函館病院</t>
        </is>
      </c>
      <c r="D185" s="3" t="inlineStr">
        <is>
          <t>北海道</t>
        </is>
      </c>
      <c r="E185" s="3" t="inlineStr">
        <is>
          <t>a-yuasa@hospital.hakodate.hokkaido.jp</t>
        </is>
      </c>
      <c r="F185" s="3" t="inlineStr">
        <is>
          <t>リハビリ技術科／理学療法士</t>
        </is>
      </c>
      <c r="G185" s="3" t="n">
        <v>155</v>
      </c>
      <c r="H185" s="3" t="n">
        <v>20</v>
      </c>
      <c r="I185" s="3" t="n">
        <v>12</v>
      </c>
      <c r="J185" s="3" t="inlineStr">
        <is>
          <t>届け出をしておらず、検討もしていない</t>
        </is>
      </c>
      <c r="K185" s="3" t="inlineStr">
        <is>
          <t>関節可動域運動, 筋力増強運動, DVT予防, 自主運動指導, 術後リハビリテーションのオリエンテーション</t>
        </is>
      </c>
      <c r="L185" s="3" t="inlineStr">
        <is>
          <t>全症例の25％〜49％程度</t>
        </is>
      </c>
      <c r="N185" s="3" t="inlineStr">
        <is>
          <t>全症例の25％〜49％程度</t>
        </is>
      </c>
      <c r="P185" s="3" t="inlineStr">
        <is>
          <t>全症例の0％〜24％程度</t>
        </is>
      </c>
      <c r="R185" s="3" t="inlineStr">
        <is>
          <t>全症例の0％〜24％程度</t>
        </is>
      </c>
      <c r="T185" s="3" t="inlineStr">
        <is>
          <t>握力, 歩行速度, SPPB</t>
        </is>
      </c>
      <c r="V185" s="3" t="inlineStr">
        <is>
          <t>握力</t>
        </is>
      </c>
      <c r="X185" s="3" t="inlineStr">
        <is>
          <t>実施していない</t>
        </is>
      </c>
      <c r="Y185" s="3" t="inlineStr">
        <is>
          <t>急性期病院で入院期間が短く、術後早期のためロコモティブシンドローム以外の要因に影響を大きく受けるため。</t>
        </is>
      </c>
      <c r="Z185" s="3" t="inlineStr">
        <is>
          <t>Barthel Index（BI）</t>
        </is>
      </c>
      <c r="AB185" s="3" t="inlineStr">
        <is>
          <t>MMSE</t>
        </is>
      </c>
      <c r="AD185" s="3" t="inlineStr">
        <is>
          <t>5回椅子立ち上がりテスト, 認知機能</t>
        </is>
      </c>
      <c r="AF185" s="3" t="inlineStr">
        <is>
          <t>決まっている</t>
        </is>
      </c>
      <c r="AG185" s="3" t="inlineStr">
        <is>
          <t>術後10日目</t>
        </is>
      </c>
      <c r="AI185" s="3" t="inlineStr">
        <is>
          <t>下肢筋力強化, バランス練習, 歩行練習, 歩容改善, 教育、指導</t>
        </is>
      </c>
    </row>
    <row r="186" ht="22.5" customHeight="1">
      <c r="A186" s="32" t="n">
        <v>46102.59161731481</v>
      </c>
      <c r="B186" s="3" t="inlineStr">
        <is>
          <t>森口八郎</t>
        </is>
      </c>
      <c r="C186" s="3" t="inlineStr">
        <is>
          <t>洛和会音羽病院</t>
        </is>
      </c>
      <c r="D186" s="3" t="inlineStr">
        <is>
          <t>京都府</t>
        </is>
      </c>
      <c r="E186" s="3" t="inlineStr">
        <is>
          <t>moriguchi-hachiro@rakuwa.or.jp</t>
        </is>
      </c>
      <c r="F186" s="3" t="inlineStr">
        <is>
          <t>リハビリテーション部／理学療法士</t>
        </is>
      </c>
      <c r="G186" s="3" t="n">
        <v>299</v>
      </c>
      <c r="H186" s="3" t="n">
        <v>13</v>
      </c>
      <c r="I186" s="3" t="n">
        <v>3</v>
      </c>
      <c r="J186" s="3" t="inlineStr">
        <is>
          <t>現在、算定している</t>
        </is>
      </c>
      <c r="K186" s="3" t="inlineStr">
        <is>
          <t>関節可動域運動, 筋力増強運動, DVT予防, ポジショニング</t>
        </is>
      </c>
      <c r="L186" s="3" t="inlineStr">
        <is>
          <t>全症例の25％〜49％程度</t>
        </is>
      </c>
      <c r="N186" s="3" t="inlineStr">
        <is>
          <t>全症例の0％〜24％程度</t>
        </is>
      </c>
      <c r="P186" s="3" t="inlineStr">
        <is>
          <t>全症例の0％〜24％程度</t>
        </is>
      </c>
      <c r="R186" s="3" t="inlineStr">
        <is>
          <t>全症例の0％〜24％程度</t>
        </is>
      </c>
      <c r="T186" s="3" t="inlineStr">
        <is>
          <t>握力, 膝伸展筋力, 5回椅子立ち上がりテスト, 歩行速度, SPPB, 骨格筋量指数（SMI）, 下腿周径</t>
        </is>
      </c>
      <c r="V186" s="3" t="inlineStr">
        <is>
          <t>実施していない</t>
        </is>
      </c>
      <c r="W186" s="3" t="inlineStr">
        <is>
          <t>必要と感じていないため</t>
        </is>
      </c>
      <c r="X186" s="3" t="inlineStr">
        <is>
          <t>実施していない</t>
        </is>
      </c>
      <c r="Y186" s="3" t="inlineStr">
        <is>
          <t>必要と感じていないため</t>
        </is>
      </c>
      <c r="Z186" s="3" t="inlineStr">
        <is>
          <t>Barthel Index（BI）, FIM</t>
        </is>
      </c>
      <c r="AB186" s="3" t="inlineStr">
        <is>
          <t>MMSE, HDS-R, MoCA</t>
        </is>
      </c>
      <c r="AD186" s="3" t="inlineStr">
        <is>
          <t>実施していない</t>
        </is>
      </c>
      <c r="AE186" s="3" t="inlineStr">
        <is>
          <t>FLS活動の一環としては実施していないが、通常の理学療法の一環としては実施している項目はある</t>
        </is>
      </c>
      <c r="AF186" s="3" t="inlineStr">
        <is>
          <t>決まっていない</t>
        </is>
      </c>
      <c r="AH186" s="3" t="inlineStr">
        <is>
          <t>FLS活動の一環としては実施していない</t>
        </is>
      </c>
      <c r="AI186" s="3" t="inlineStr">
        <is>
          <t>下肢筋力強化, バランス練習, 歩行練習, 歩容改善, 起立、着座動作練習, 環境調整, 補助具、装具の適正化, 認知面への介入, 行動面への介入, 教育、指導</t>
        </is>
      </c>
    </row>
    <row r="187" ht="22.5" customHeight="1">
      <c r="A187" s="32" t="n">
        <v>46102.68104107639</v>
      </c>
      <c r="B187" s="3" t="inlineStr">
        <is>
          <t>三村史典</t>
        </is>
      </c>
      <c r="C187" s="3" t="inlineStr">
        <is>
          <t>医療法人松浦会　姫路第一病院</t>
        </is>
      </c>
      <c r="D187" s="3" t="inlineStr">
        <is>
          <t>兵庫県</t>
        </is>
      </c>
      <c r="E187" s="3" t="inlineStr">
        <is>
          <t>himeji.daiichi.reha@gmail.com</t>
        </is>
      </c>
      <c r="F187" s="3" t="inlineStr">
        <is>
          <t>リハビリテーション科／理学療法士</t>
        </is>
      </c>
      <c r="G187" s="3" t="n">
        <v>98</v>
      </c>
      <c r="H187" s="3" t="n">
        <v>8</v>
      </c>
      <c r="I187" s="3" t="n">
        <v>6</v>
      </c>
      <c r="J187" s="3" t="inlineStr">
        <is>
          <t>届け出をしておらず、検討もしていない</t>
        </is>
      </c>
      <c r="K187" s="3" t="inlineStr">
        <is>
          <t>関節可動域運動, 筋力増強運動, リラクセーション, ポジショニング</t>
        </is>
      </c>
      <c r="L187" s="3" t="inlineStr">
        <is>
          <t>全症例の25％〜49％程度</t>
        </is>
      </c>
      <c r="N187" s="3" t="inlineStr">
        <is>
          <t>全症例の0％〜24％程度</t>
        </is>
      </c>
      <c r="P187" s="3" t="inlineStr">
        <is>
          <t>全症例の0％〜24％程度</t>
        </is>
      </c>
      <c r="R187" s="3" t="inlineStr">
        <is>
          <t>全症例の0％〜24％程度</t>
        </is>
      </c>
      <c r="T187" s="3" t="inlineStr">
        <is>
          <t>握力, 開眼片脚立位時間, 下腿周径</t>
        </is>
      </c>
      <c r="V187" s="3" t="inlineStr">
        <is>
          <t>握力</t>
        </is>
      </c>
      <c r="X187" s="3" t="inlineStr">
        <is>
          <t>実施していない</t>
        </is>
      </c>
      <c r="Y187" s="3" t="inlineStr">
        <is>
          <t>該当症例なし</t>
        </is>
      </c>
      <c r="Z187" s="3" t="inlineStr">
        <is>
          <t>FIM</t>
        </is>
      </c>
      <c r="AB187" s="3" t="inlineStr">
        <is>
          <t>MMSE, HDS-R</t>
        </is>
      </c>
      <c r="AD187" s="3" t="inlineStr">
        <is>
          <t>実施していない</t>
        </is>
      </c>
      <c r="AE187" s="3" t="inlineStr">
        <is>
          <t>施設内での定義なし</t>
        </is>
      </c>
      <c r="AI187" s="3" t="inlineStr">
        <is>
          <t>下肢筋力強化, バランス練習, 歩行練習, 歩容改善, 起立、着座動作練習, 環境調整, 認知面への介入, 教育、指導</t>
        </is>
      </c>
    </row>
    <row r="188" ht="22.5" customHeight="1">
      <c r="A188" s="32" t="n">
        <v>46102.72346549769</v>
      </c>
      <c r="B188" s="3" t="inlineStr">
        <is>
          <t>奥山香奈</t>
        </is>
      </c>
      <c r="C188" s="3" t="inlineStr">
        <is>
          <t>京都済生会病院</t>
        </is>
      </c>
      <c r="D188" s="3" t="inlineStr">
        <is>
          <t>京都府</t>
        </is>
      </c>
      <c r="E188" s="3" t="inlineStr">
        <is>
          <t>10yurayura@gmail.com</t>
        </is>
      </c>
      <c r="F188" s="3" t="inlineStr">
        <is>
          <t>リハビリテーション科/理学療法士</t>
        </is>
      </c>
      <c r="G188" s="3" t="n">
        <v>118</v>
      </c>
      <c r="H188" s="3" t="n">
        <v>14</v>
      </c>
      <c r="I188" s="3" t="n">
        <v>2</v>
      </c>
      <c r="J188" s="3" t="inlineStr">
        <is>
          <t>届け出はしていないが、現在検討中である</t>
        </is>
      </c>
      <c r="K188" s="3" t="inlineStr">
        <is>
          <t>関節可動域運動, 筋力増強運動, DVT予防, ポジショニング, 自主運動指導, 術後リハビリテーションのオリエンテーション, 離床（例：車椅子移乗,立位,歩行など）</t>
        </is>
      </c>
      <c r="L188" s="3" t="inlineStr">
        <is>
          <t>全症例の0％〜24％程度</t>
        </is>
      </c>
      <c r="N188" s="3" t="inlineStr">
        <is>
          <t>全症例の0％〜24％程度</t>
        </is>
      </c>
      <c r="P188" s="3" t="inlineStr">
        <is>
          <t>全症例の0％〜24％程度</t>
        </is>
      </c>
      <c r="R188" s="3" t="inlineStr">
        <is>
          <t>全症例の0％〜24％程度</t>
        </is>
      </c>
      <c r="T188" s="3" t="inlineStr">
        <is>
          <t>膝伸展筋力, 開眼片脚立位時間</t>
        </is>
      </c>
      <c r="V188" s="3" t="inlineStr">
        <is>
          <t>実施していない</t>
        </is>
      </c>
      <c r="W188" s="3" t="inlineStr">
        <is>
          <t>フレイルの評価として特に決めているものはないため</t>
        </is>
      </c>
      <c r="X188" s="3" t="inlineStr">
        <is>
          <t>立ち上がりテスト</t>
        </is>
      </c>
      <c r="Z188" s="3" t="inlineStr">
        <is>
          <t>Barthel Index（BI）, FIM</t>
        </is>
      </c>
      <c r="AB188" s="3" t="inlineStr">
        <is>
          <t>MMSE, HDS-R</t>
        </is>
      </c>
      <c r="AD188" s="3" t="inlineStr">
        <is>
          <t>開眼片脚立位時間, 10m歩行速度, 過去の転倒歴, 既往疾患の有無（脳血管疾患、パーキンソン病など）</t>
        </is>
      </c>
      <c r="AF188" s="3" t="inlineStr">
        <is>
          <t>決まっていない</t>
        </is>
      </c>
      <c r="AH188" s="3" t="inlineStr">
        <is>
          <t>個々の患者にあわせて担当が決定しているため</t>
        </is>
      </c>
      <c r="AI188" s="3" t="inlineStr">
        <is>
          <t>下肢筋力強化, バランス練習, 歩行練習, 起立、着座動作練習, 環境調整</t>
        </is>
      </c>
    </row>
    <row r="189" ht="22.5" customHeight="1">
      <c r="A189" s="32" t="n">
        <v>46102.9755215162</v>
      </c>
      <c r="B189" s="3" t="inlineStr">
        <is>
          <t>岩岡　絵美</t>
        </is>
      </c>
      <c r="C189" s="3" t="inlineStr">
        <is>
          <t>株式会社日立製作所ひたちなか総合病院</t>
        </is>
      </c>
      <c r="D189" s="3" t="inlineStr">
        <is>
          <t>茨城県</t>
        </is>
      </c>
      <c r="E189" s="3" t="inlineStr">
        <is>
          <t>iwa1oka2@yahoo.co.jp</t>
        </is>
      </c>
      <c r="F189" s="3" t="inlineStr">
        <is>
          <t>リハビリテーション科　理学療法士</t>
        </is>
      </c>
      <c r="G189" s="3" t="n">
        <v>13</v>
      </c>
      <c r="H189" s="3" t="n">
        <v>6</v>
      </c>
      <c r="I189" s="3" t="n">
        <v>3</v>
      </c>
      <c r="J189" s="3" t="inlineStr">
        <is>
          <t>現在、算定している</t>
        </is>
      </c>
      <c r="K189" s="3" t="inlineStr">
        <is>
          <t>関節可動域運動, DVT予防, ポジショニング, 自主運動指導</t>
        </is>
      </c>
      <c r="L189" s="3" t="inlineStr">
        <is>
          <t>全症例の75％〜100％程度</t>
        </is>
      </c>
      <c r="M189" s="3" t="inlineStr">
        <is>
          <t>術後鎮痛薬投与</t>
        </is>
      </c>
      <c r="N189" s="3" t="inlineStr">
        <is>
          <t>全症例の0％〜24％程度</t>
        </is>
      </c>
      <c r="P189" s="3" t="inlineStr">
        <is>
          <t>全症例の0％〜24％程度</t>
        </is>
      </c>
      <c r="R189" s="3" t="inlineStr">
        <is>
          <t>全症例の0％〜24％程度</t>
        </is>
      </c>
      <c r="T189" s="3" t="inlineStr">
        <is>
          <t>握力, 歩行速度, SPPB, TUG, 開眼片脚立位時間, 骨格筋量指数（SMI）, 下腿周径</t>
        </is>
      </c>
      <c r="V189" s="3" t="inlineStr">
        <is>
          <t>TUG, 握力</t>
        </is>
      </c>
      <c r="X189" s="3" t="inlineStr">
        <is>
          <t>立ち上がりテスト, 2ステップテスト</t>
        </is>
      </c>
      <c r="Z189" s="3" t="inlineStr">
        <is>
          <t>Barthel Index（BI）</t>
        </is>
      </c>
      <c r="AB189" s="3" t="inlineStr">
        <is>
          <t>MMSE, HDS-R</t>
        </is>
      </c>
      <c r="AD189" s="3" t="inlineStr">
        <is>
          <t>TUG, 10m歩行速度, SPPB、Functional Reach Test（FRT）, 認知機能, せん妄, 過去の転倒歴, 既往疾患の有無（脳血管疾患、パーキンソン病など）, 薬剤（向精神薬、降圧薬、利尿薬、ポリファーマシーなど）, ベッド周囲および病室環境</t>
        </is>
      </c>
      <c r="AF189" s="3" t="inlineStr">
        <is>
          <t>決まっていない</t>
        </is>
      </c>
      <c r="AH189" s="3" t="inlineStr">
        <is>
          <t>術式や、入院前ADLにより回復過程が違うため。退院はどのように決めているか知りたい。</t>
        </is>
      </c>
      <c r="AI189" s="3" t="inlineStr">
        <is>
          <t>下肢筋力強化, バランス練習, 歩行練習, 歩容改善, 起立、着座動作練習, 環境調整, 補助具、装具の適正化, 認知面への介入, 行動面への介入</t>
        </is>
      </c>
    </row>
    <row r="190" ht="22.5" customHeight="1">
      <c r="A190" s="32" t="n">
        <v>46103.62474592592</v>
      </c>
      <c r="B190" s="3" t="inlineStr">
        <is>
          <t>長野　裕一</t>
        </is>
      </c>
      <c r="C190" s="3" t="inlineStr">
        <is>
          <t>遠賀中間医師会おんが病院</t>
        </is>
      </c>
      <c r="D190" s="3" t="inlineStr">
        <is>
          <t>福岡県</t>
        </is>
      </c>
      <c r="E190" s="3" t="inlineStr">
        <is>
          <t>leonkaeshou@yahoo.co.jp</t>
        </is>
      </c>
      <c r="F190" s="3" t="inlineStr">
        <is>
          <t>リハビリテーション科/理学療法士</t>
        </is>
      </c>
      <c r="G190" s="3" t="n">
        <v>64</v>
      </c>
      <c r="H190" s="3" t="n">
        <v>11</v>
      </c>
      <c r="I190" s="3" t="n">
        <v>4</v>
      </c>
      <c r="J190" s="3" t="inlineStr">
        <is>
          <t>届け出はしていないが、現在検討中である</t>
        </is>
      </c>
      <c r="K190" s="3" t="inlineStr">
        <is>
          <t>関節可動域運動, 筋力増強運動, DVT予防, リラクセーション, ポジショニング, 自主運動指導, 術後リハビリテーションのオリエンテーション, 離床（例：車椅子移乗,立位,歩行など）</t>
        </is>
      </c>
      <c r="L190" s="3" t="inlineStr">
        <is>
          <t>全症例の25％〜49％程度</t>
        </is>
      </c>
      <c r="N190" s="3" t="inlineStr">
        <is>
          <t>全症例の0％〜24％程度</t>
        </is>
      </c>
      <c r="P190" s="3" t="inlineStr">
        <is>
          <t>全症例の0％〜24％程度</t>
        </is>
      </c>
      <c r="R190" s="3" t="inlineStr">
        <is>
          <t>全症例の0％〜24％程度</t>
        </is>
      </c>
      <c r="T190" s="3" t="inlineStr">
        <is>
          <t>握力, 膝伸展筋力, 歩行速度, TUG</t>
        </is>
      </c>
      <c r="V190" s="3" t="inlineStr">
        <is>
          <t>TUG, 認知機能, 握力</t>
        </is>
      </c>
      <c r="X190" s="3" t="inlineStr">
        <is>
          <t>実施していない</t>
        </is>
      </c>
      <c r="Y190" s="3" t="inlineStr">
        <is>
          <t>急性期病院で術後２週間前後で転院となる。なので、立ち上がりテスト、②ステップテストは当院入院中に評価できる患者がいない。ロコモ25も身体機能が落ち着いてからするべきかと思う。</t>
        </is>
      </c>
      <c r="Z190" s="3" t="inlineStr">
        <is>
          <t>Barthel Index（BI）</t>
        </is>
      </c>
      <c r="AB190" s="3" t="inlineStr">
        <is>
          <t>HDS-R, AMTS</t>
        </is>
      </c>
      <c r="AD190" s="3" t="inlineStr">
        <is>
          <t>認知機能, 注意障害, 既往疾患の有無（脳血管疾患、パーキンソン病など）, 薬剤（向精神薬、降圧薬、利尿薬、ポリファーマシーなど）, ベッド周囲および病室環境</t>
        </is>
      </c>
      <c r="AF190" s="3" t="inlineStr">
        <is>
          <t>決まっている</t>
        </is>
      </c>
      <c r="AG190" s="3" t="inlineStr">
        <is>
          <t>術前にAMTS実施。薬剤は薬剤師が入院したら骨粗鬆症薬や転倒リスクが高くなる薬などをチェックするようにしている。</t>
        </is>
      </c>
      <c r="AI190" s="3" t="inlineStr">
        <is>
          <t>下肢筋力強化, バランス練習, 歩行練習, 歩容改善, 起立、着座動作練習, 環境調整, 補助具、装具の適正化, 薬剤調整, 教育、指導</t>
        </is>
      </c>
    </row>
    <row r="191" ht="22.5" customHeight="1">
      <c r="A191" s="32" t="n">
        <v>46103.709171875</v>
      </c>
      <c r="B191" s="3" t="inlineStr">
        <is>
          <t>鈴木　亮太</t>
        </is>
      </c>
      <c r="C191" s="3" t="inlineStr">
        <is>
          <t>日本鋼管福山病院</t>
        </is>
      </c>
      <c r="D191" s="3" t="inlineStr">
        <is>
          <t>広島県</t>
        </is>
      </c>
      <c r="E191" s="3" t="inlineStr">
        <is>
          <t>ryota_suzuki@nkfh.or.jp</t>
        </is>
      </c>
      <c r="F191" s="3" t="inlineStr">
        <is>
          <t>リハビリテーション科／作業療法士</t>
        </is>
      </c>
      <c r="G191" s="3" t="n">
        <v>120</v>
      </c>
      <c r="H191" s="3" t="n">
        <v>26</v>
      </c>
      <c r="I191" s="3" t="n">
        <v>10</v>
      </c>
      <c r="J191" s="3" t="inlineStr">
        <is>
          <t>現在、算定している</t>
        </is>
      </c>
      <c r="K191" s="3" t="inlineStr">
        <is>
          <t>筋力増強運動, リラクセーション, ポジショニング, 自主運動指導, 術後リハビリテーションのオリエンテーション</t>
        </is>
      </c>
      <c r="L191" s="3" t="inlineStr">
        <is>
          <t>全症例の50％〜74％程度</t>
        </is>
      </c>
      <c r="N191" s="3" t="inlineStr">
        <is>
          <t>全症例の50％〜74％程度</t>
        </is>
      </c>
      <c r="P191" s="3" t="inlineStr">
        <is>
          <t>全症例の0％〜24％程度</t>
        </is>
      </c>
      <c r="R191" s="3" t="inlineStr">
        <is>
          <t>全症例の0％〜24％程度</t>
        </is>
      </c>
      <c r="T191" s="3" t="inlineStr">
        <is>
          <t>膝伸展筋力, 歩行速度, TUG, 下腿周径</t>
        </is>
      </c>
      <c r="V191" s="3" t="inlineStr">
        <is>
          <t>TUG, 認知機能</t>
        </is>
      </c>
      <c r="X191" s="3" t="inlineStr">
        <is>
          <t>立ち上がりテスト, 2ステップテスト</t>
        </is>
      </c>
      <c r="Z191" s="3" t="inlineStr">
        <is>
          <t>FIM</t>
        </is>
      </c>
      <c r="AB191" s="3" t="inlineStr">
        <is>
          <t>AMTS</t>
        </is>
      </c>
      <c r="AD191" s="3" t="inlineStr">
        <is>
          <t>定量的な下肢筋力測定, TUG, 認知機能, 過去の転倒歴, 既往疾患の有無（脳血管疾患、パーキンソン病など）, ベッド周囲および病室環境</t>
        </is>
      </c>
      <c r="AF191" s="3" t="inlineStr">
        <is>
          <t>決まっている</t>
        </is>
      </c>
      <c r="AG191" s="3" t="inlineStr">
        <is>
          <t>術後2週に認知機能評価、術後4週に運動機能評価を行う。</t>
        </is>
      </c>
      <c r="AI191" s="3" t="inlineStr">
        <is>
          <t>下肢筋力強化, バランス練習, 歩行練習, 歩容改善, 起立、着座動作練習, 環境調整, 補助具、装具の適正化, 認知面への介入, 行動面への介入, 教育、指導</t>
        </is>
      </c>
    </row>
    <row r="192" ht="22.5" customHeight="1">
      <c r="A192" s="32" t="n">
        <v>46104.39073347222</v>
      </c>
      <c r="B192" s="3" t="inlineStr">
        <is>
          <t>渡邉洋昭</t>
        </is>
      </c>
      <c r="C192" s="3" t="inlineStr">
        <is>
          <t>足利赤十字病院</t>
        </is>
      </c>
      <c r="D192" s="3" t="inlineStr">
        <is>
          <t>栃木県</t>
        </is>
      </c>
      <c r="E192" s="3" t="inlineStr">
        <is>
          <t>rihabiri@ashikaga.jrc.or.jp</t>
        </is>
      </c>
      <c r="F192" s="3" t="inlineStr">
        <is>
          <t>リハビリテーション技術部</t>
        </is>
      </c>
      <c r="G192" s="3" t="n">
        <v>277</v>
      </c>
      <c r="H192" s="3" t="n">
        <v>4</v>
      </c>
      <c r="I192" s="3" t="n">
        <v>0</v>
      </c>
      <c r="J192" s="3" t="inlineStr">
        <is>
          <t>届け出をしておらず、検討もしていない</t>
        </is>
      </c>
      <c r="K192" s="3" t="inlineStr">
        <is>
          <t>筋力増強運動, 自主運動指導, 術後リハビリテーションのオリエンテーション, 離床（例：車椅子移乗,立位,歩行など）</t>
        </is>
      </c>
      <c r="L192" s="3" t="inlineStr">
        <is>
          <t>全症例の0％〜24％程度</t>
        </is>
      </c>
      <c r="N192" s="3" t="inlineStr">
        <is>
          <t>全症例の0％〜24％程度</t>
        </is>
      </c>
      <c r="P192" s="3" t="inlineStr">
        <is>
          <t>全症例の0％〜24％程度</t>
        </is>
      </c>
      <c r="R192" s="3" t="inlineStr">
        <is>
          <t>全症例の0％〜24％程度</t>
        </is>
      </c>
      <c r="T192" s="3" t="inlineStr">
        <is>
          <t>歩行速度, SPPB, 下腿周径</t>
        </is>
      </c>
      <c r="V192" s="3" t="inlineStr">
        <is>
          <t>認知機能</t>
        </is>
      </c>
      <c r="X192" s="3" t="inlineStr">
        <is>
          <t>実施していない</t>
        </is>
      </c>
      <c r="Y192" s="3" t="inlineStr">
        <is>
          <t>その他の評価を行っているため</t>
        </is>
      </c>
      <c r="Z192" s="3" t="inlineStr">
        <is>
          <t>Barthel Index（BI）</t>
        </is>
      </c>
      <c r="AB192" s="3" t="inlineStr">
        <is>
          <t>MMSE, HDS-R</t>
        </is>
      </c>
      <c r="AD192" s="3" t="inlineStr">
        <is>
          <t>SPPB、Functional Reach Test（FRT）, 認知機能, 過去の転倒歴</t>
        </is>
      </c>
      <c r="AF192" s="3" t="inlineStr">
        <is>
          <t>決まっていない</t>
        </is>
      </c>
      <c r="AH192" s="3" t="inlineStr">
        <is>
          <t>患者の動作能力により評価できるタイミングが変わるため</t>
        </is>
      </c>
      <c r="AI192" s="3" t="inlineStr">
        <is>
          <t>下肢筋力強化, バランス練習, 歩行練習, 歩容改善, 起立、着座動作練習, 環境調整, 補助具、装具の適正化, 認知面への介入, 行動面への介入, 教育、指導</t>
        </is>
      </c>
    </row>
    <row r="193" ht="22.5" customHeight="1">
      <c r="A193" s="32" t="n">
        <v>46104.4118140162</v>
      </c>
      <c r="B193" s="3" t="inlineStr">
        <is>
          <t>岡田　大希</t>
        </is>
      </c>
      <c r="C193" s="3" t="inlineStr">
        <is>
          <t>医療法人徳洲会　大垣徳洲会病院</t>
        </is>
      </c>
      <c r="D193" s="3" t="inlineStr">
        <is>
          <t>岐阜県</t>
        </is>
      </c>
      <c r="E193" s="3" t="inlineStr">
        <is>
          <t>hiroyasu.koide@tokushukai.jp</t>
        </is>
      </c>
      <c r="F193" s="3" t="inlineStr">
        <is>
          <t>リハビリテーション科/理学療法士</t>
        </is>
      </c>
      <c r="G193" s="3" t="n">
        <v>176</v>
      </c>
      <c r="H193" s="3" t="n">
        <v>14</v>
      </c>
      <c r="I193" s="3" t="n">
        <v>5</v>
      </c>
      <c r="J193" s="3" t="inlineStr">
        <is>
          <t>届け出はしていないが、現在検討中である</t>
        </is>
      </c>
      <c r="K193" s="3" t="inlineStr">
        <is>
          <t>ポジショニング, 術後リハビリテーションのオリエンテーション, 健側、患部外の機能評価</t>
        </is>
      </c>
      <c r="L193" s="3" t="inlineStr">
        <is>
          <t>全症例の75％〜100％程度</t>
        </is>
      </c>
      <c r="M193" s="3" t="inlineStr">
        <is>
          <t>補助具使用、介助料調整、リラクゼーション等</t>
        </is>
      </c>
      <c r="N193" s="3" t="inlineStr">
        <is>
          <t>全症例の0％〜24％程度</t>
        </is>
      </c>
      <c r="P193" s="3" t="inlineStr">
        <is>
          <t>全症例の0％〜24％程度</t>
        </is>
      </c>
      <c r="R193" s="3" t="inlineStr">
        <is>
          <t>全症例の0％〜24％程度</t>
        </is>
      </c>
      <c r="T193" s="3" t="inlineStr">
        <is>
          <t>歩行速度, TUG</t>
        </is>
      </c>
      <c r="V193" s="3" t="inlineStr">
        <is>
          <t>TUG, 認知機能</t>
        </is>
      </c>
      <c r="X193" s="3" t="inlineStr">
        <is>
          <t>実施していない</t>
        </is>
      </c>
      <c r="Z193" s="3" t="inlineStr">
        <is>
          <t>Barthel Index（BI）, FIM</t>
        </is>
      </c>
      <c r="AB193" s="3" t="inlineStr">
        <is>
          <t>MMSE, HDS-R, AMTS</t>
        </is>
      </c>
      <c r="AD193" s="3" t="inlineStr">
        <is>
          <t>TUG, 10m歩行速度, 認知機能</t>
        </is>
      </c>
      <c r="AF193" s="3" t="inlineStr">
        <is>
          <t>決まっていない</t>
        </is>
      </c>
      <c r="AH193" s="3" t="inlineStr">
        <is>
          <t>患者様の機能に応じて実施</t>
        </is>
      </c>
      <c r="AI193" s="3" t="inlineStr">
        <is>
          <t>下肢筋力強化, バランス練習, 歩行練習, 起立、着座動作練習, 補助具、装具の適正化</t>
        </is>
      </c>
    </row>
    <row r="194" ht="22.5" customHeight="1">
      <c r="A194" s="32" t="n">
        <v>46104.44401934028</v>
      </c>
      <c r="B194" s="3" t="inlineStr">
        <is>
          <t>雪岡　陽</t>
        </is>
      </c>
      <c r="C194" s="3" t="inlineStr">
        <is>
          <t>医療法人峰和会　鈴鹿回生病院</t>
        </is>
      </c>
      <c r="D194" s="3" t="inlineStr">
        <is>
          <t>三重県</t>
        </is>
      </c>
      <c r="E194" s="3" t="inlineStr">
        <is>
          <t>ychao0803@yahoo.co.jp</t>
        </is>
      </c>
      <c r="F194" s="3" t="inlineStr">
        <is>
          <t>リハビリテーション課/理学療法士</t>
        </is>
      </c>
      <c r="G194" s="3" t="n">
        <v>151</v>
      </c>
      <c r="H194" s="3" t="n">
        <v>12</v>
      </c>
      <c r="I194" s="3" t="n">
        <v>5</v>
      </c>
      <c r="J194" s="3" t="inlineStr">
        <is>
          <t>届け出はしていないが、現在検討中である</t>
        </is>
      </c>
      <c r="K194" s="3" t="inlineStr">
        <is>
          <t>筋力増強運動, DVT予防, ポジショニング</t>
        </is>
      </c>
      <c r="L194" s="3" t="inlineStr">
        <is>
          <t>全症例の50％〜74％程度</t>
        </is>
      </c>
      <c r="M194" s="3" t="inlineStr">
        <is>
          <t>服薬管理</t>
        </is>
      </c>
      <c r="N194" s="3" t="inlineStr">
        <is>
          <t>全症例の0％〜24％程度</t>
        </is>
      </c>
      <c r="P194" s="3" t="inlineStr">
        <is>
          <t>全症例の0％〜24％程度</t>
        </is>
      </c>
      <c r="R194" s="3" t="inlineStr">
        <is>
          <t>全症例の0％〜24％程度</t>
        </is>
      </c>
      <c r="T194" s="3" t="inlineStr">
        <is>
          <t>握力, 膝伸展筋力, 5回椅子立ち上がりテスト, 歩行速度, TUG, 開眼片脚立位時間, 下腿周径</t>
        </is>
      </c>
      <c r="V194" s="3" t="inlineStr">
        <is>
          <t>J-CHS基準, TUG, 認知機能, 握力</t>
        </is>
      </c>
      <c r="X194" s="3" t="inlineStr">
        <is>
          <t>立ち上がりテスト, 2ステップテスト, ロコモ25（質問票）</t>
        </is>
      </c>
      <c r="Z194" s="3" t="inlineStr">
        <is>
          <t>Barthel Index（BI）, FIM</t>
        </is>
      </c>
      <c r="AB194" s="3" t="inlineStr">
        <is>
          <t>MMSE, HDS-R</t>
        </is>
      </c>
      <c r="AD194" s="3" t="inlineStr">
        <is>
          <t>定量的な下肢筋力測定, 開眼片脚立位時間, TUG, 10m歩行速度, Berg Balance Scale（BBS）, 認知機能, 過去の転倒歴, ベッド周囲および病室環境</t>
        </is>
      </c>
      <c r="AF194" s="3" t="inlineStr">
        <is>
          <t>決まっていない</t>
        </is>
      </c>
      <c r="AI194" s="3" t="inlineStr">
        <is>
          <t>下肢筋力強化, バランス練習, 歩行練習, 歩容改善, 起立、着座動作練習, 環境調整, 補助具、装具の適正化, 行動面への介入, 教育、指導</t>
        </is>
      </c>
    </row>
    <row r="195" ht="22.5" customHeight="1">
      <c r="A195" s="32" t="n">
        <v>46104.45024363426</v>
      </c>
      <c r="B195" s="3" t="inlineStr">
        <is>
          <t>大矢　渉</t>
        </is>
      </c>
      <c r="C195" s="3" t="inlineStr">
        <is>
          <t>亀田第一病院</t>
        </is>
      </c>
      <c r="D195" s="3" t="inlineStr">
        <is>
          <t>新潟県</t>
        </is>
      </c>
      <c r="E195" s="3" t="inlineStr">
        <is>
          <t>rehab@ijn.or.jp</t>
        </is>
      </c>
      <c r="F195" s="3" t="inlineStr">
        <is>
          <t>リハビリテーション科　理学療法士</t>
        </is>
      </c>
      <c r="G195" s="3" t="n">
        <v>153</v>
      </c>
      <c r="H195" s="3" t="n">
        <v>19</v>
      </c>
      <c r="I195" s="3" t="n">
        <v>9</v>
      </c>
      <c r="J195" s="3" t="inlineStr">
        <is>
          <t>届け出をしておらず、検討もしていない</t>
        </is>
      </c>
      <c r="K195" s="3" t="inlineStr">
        <is>
          <t>実施していない</t>
        </is>
      </c>
      <c r="L195" s="3" t="inlineStr">
        <is>
          <t>全症例の50％〜74％程度</t>
        </is>
      </c>
      <c r="N195" s="3" t="inlineStr">
        <is>
          <t>全症例の25％〜49％程度</t>
        </is>
      </c>
      <c r="P195" s="3" t="inlineStr">
        <is>
          <t>全症例の0％〜24％程度</t>
        </is>
      </c>
      <c r="R195" s="3" t="inlineStr">
        <is>
          <t>全症例の0％〜24％程度</t>
        </is>
      </c>
      <c r="T195" s="3" t="inlineStr">
        <is>
          <t>実施していない</t>
        </is>
      </c>
      <c r="V195" s="3" t="inlineStr">
        <is>
          <t>実施していない</t>
        </is>
      </c>
      <c r="X195" s="3" t="inlineStr">
        <is>
          <t>実施していない</t>
        </is>
      </c>
      <c r="Z195" s="3" t="inlineStr">
        <is>
          <t>Barthel Index（BI）</t>
        </is>
      </c>
      <c r="AB195" s="3" t="inlineStr">
        <is>
          <t>HDS-R</t>
        </is>
      </c>
      <c r="AD195" s="3" t="inlineStr">
        <is>
          <t>TUG, 5回椅子立ち上がりテスト</t>
        </is>
      </c>
      <c r="AI195" s="3" t="inlineStr">
        <is>
          <t>下肢筋力強化, バランス練習, 起立、着座動作練習, 環境調整</t>
        </is>
      </c>
    </row>
    <row r="196" ht="22.5" customHeight="1">
      <c r="A196" s="32" t="n">
        <v>46104.45667629629</v>
      </c>
      <c r="B196" s="3" t="inlineStr">
        <is>
          <t>當間智史</t>
        </is>
      </c>
      <c r="C196" s="3" t="inlineStr">
        <is>
          <t>社会医療法人敬愛会　中頭病院</t>
        </is>
      </c>
      <c r="D196" s="3" t="inlineStr">
        <is>
          <t>沖縄県</t>
        </is>
      </c>
      <c r="E196" s="3" t="inlineStr">
        <is>
          <t>s.touma1979@gmail.com</t>
        </is>
      </c>
      <c r="F196" s="3" t="inlineStr">
        <is>
          <t>リハビリテーションぶ／理学療法士</t>
        </is>
      </c>
      <c r="G196" s="3" t="n">
        <v>275</v>
      </c>
      <c r="H196" s="3" t="n">
        <v>7</v>
      </c>
      <c r="I196" s="3" t="n">
        <v>3</v>
      </c>
      <c r="J196" s="3" t="inlineStr">
        <is>
          <t>現在、算定している</t>
        </is>
      </c>
      <c r="K196" s="3" t="inlineStr">
        <is>
          <t>関節可動域運動, 筋力増強運動, 呼吸リハビリテーション, DVT予防, リラクセーション, ポジショニング, 自主運動指導, 術後リハビリテーションのオリエンテーション, 離床（例：車椅子移乗,立位,歩行など）, AMTS</t>
        </is>
      </c>
      <c r="L196" s="3" t="inlineStr">
        <is>
          <t>全症例の0％〜24％程度</t>
        </is>
      </c>
      <c r="N196" s="3" t="inlineStr">
        <is>
          <t>全症例の0％〜24％程度</t>
        </is>
      </c>
      <c r="P196" s="3" t="inlineStr">
        <is>
          <t>全症例の0％〜24％程度</t>
        </is>
      </c>
      <c r="R196" s="3" t="inlineStr">
        <is>
          <t>全症例の0％〜24％程度</t>
        </is>
      </c>
      <c r="T196" s="3" t="inlineStr">
        <is>
          <t>実施していない</t>
        </is>
      </c>
      <c r="U196" s="3" t="inlineStr">
        <is>
          <t>業務として標準化されておらず、個人の判断で握力や膝伸展筋力、TUGを計測している。</t>
        </is>
      </c>
      <c r="V196" s="3" t="inlineStr">
        <is>
          <t>実施していない</t>
        </is>
      </c>
      <c r="W196" s="3" t="inlineStr">
        <is>
          <t>業務として標準化されておらず、実施していない。</t>
        </is>
      </c>
      <c r="X196" s="3" t="inlineStr">
        <is>
          <t>実施していない</t>
        </is>
      </c>
      <c r="Y196" s="3" t="inlineStr">
        <is>
          <t>業務として標準化されておらず、実施していない。</t>
        </is>
      </c>
      <c r="Z196" s="3" t="inlineStr">
        <is>
          <t>Barthel Index（BI）, FIM</t>
        </is>
      </c>
      <c r="AB196" s="3" t="inlineStr">
        <is>
          <t>MMSE, HDS-R, AMTS</t>
        </is>
      </c>
      <c r="AD196" s="3" t="inlineStr">
        <is>
          <t>実施していない</t>
        </is>
      </c>
      <c r="AE196" s="3" t="inlineStr">
        <is>
          <t>施設内で取り決めされていない。</t>
        </is>
      </c>
      <c r="AI196" s="3" t="inlineStr">
        <is>
          <t>下肢筋力強化, バランス練習, 歩行練習, 歩容改善, 起立、着座動作練習, 環境調整, 補助具、装具の適正化, 認知面への介入, 行動面への介入, 薬剤調整, 教育、指導</t>
        </is>
      </c>
    </row>
    <row r="197" ht="22.5" customHeight="1">
      <c r="A197" s="32" t="n">
        <v>46104.4653453588</v>
      </c>
      <c r="B197" s="3" t="inlineStr">
        <is>
          <t>吉川　祐樹</t>
        </is>
      </c>
      <c r="C197" s="3" t="inlineStr">
        <is>
          <t>社会福祉法人北海道社会事業協会帯広病院</t>
        </is>
      </c>
      <c r="D197" s="3" t="inlineStr">
        <is>
          <t>北海道</t>
        </is>
      </c>
      <c r="E197" s="3" t="inlineStr">
        <is>
          <t>y-kichikawa@obihiro-kyokai-hsp.jp</t>
        </is>
      </c>
      <c r="F197" s="3" t="inlineStr">
        <is>
          <t>リハビリテーション科/理学療法士</t>
        </is>
      </c>
      <c r="G197" s="3" t="n">
        <v>49</v>
      </c>
      <c r="H197" s="3" t="n">
        <v>9</v>
      </c>
      <c r="I197" s="3" t="n">
        <v>3</v>
      </c>
      <c r="J197" s="3" t="inlineStr">
        <is>
          <t>届け出をしておらず、検討もしていない</t>
        </is>
      </c>
      <c r="K197" s="3" t="inlineStr">
        <is>
          <t>関節可動域運動, 筋力増強運動, 呼吸リハビリテーション, リラクセーション, ポジショニング, 術後リハビリテーションのオリエンテーション</t>
        </is>
      </c>
      <c r="L197" s="3" t="inlineStr">
        <is>
          <t>全症例の50％〜74％程度</t>
        </is>
      </c>
      <c r="M197" s="3" t="inlineStr">
        <is>
          <t>浮腫管理、リラクゼーション、ポジショニング</t>
        </is>
      </c>
      <c r="N197" s="3" t="inlineStr">
        <is>
          <t>全症例の0％〜24％程度</t>
        </is>
      </c>
      <c r="P197" s="3" t="inlineStr">
        <is>
          <t>全症例の0％〜24％程度</t>
        </is>
      </c>
      <c r="R197" s="3" t="inlineStr">
        <is>
          <t>全症例の0％〜24％程度</t>
        </is>
      </c>
      <c r="T197" s="3" t="inlineStr">
        <is>
          <t>下腿周径</t>
        </is>
      </c>
      <c r="V197" s="3" t="inlineStr">
        <is>
          <t>実施していない</t>
        </is>
      </c>
      <c r="W197" s="3" t="inlineStr">
        <is>
          <t>フレイル目的で評価していない為、実際は実施している項目あり</t>
        </is>
      </c>
      <c r="X197" s="3" t="inlineStr">
        <is>
          <t>実施していない</t>
        </is>
      </c>
      <c r="Y197" s="3" t="inlineStr">
        <is>
          <t>ロコモティブシンドローム目的で実施はしていない為</t>
        </is>
      </c>
      <c r="Z197" s="3" t="inlineStr">
        <is>
          <t>Barthel Index（BI）</t>
        </is>
      </c>
      <c r="AB197" s="3" t="inlineStr">
        <is>
          <t>MMSE, HDS-R</t>
        </is>
      </c>
      <c r="AD197" s="3" t="inlineStr">
        <is>
          <t>実施していない</t>
        </is>
      </c>
      <c r="AE197" s="3" t="inlineStr">
        <is>
          <t>FLS活動の一環として実施しているわけではない。実施項目は該当するものあり。</t>
        </is>
      </c>
      <c r="AI197" s="3" t="inlineStr">
        <is>
          <t>下肢筋力強化, バランス練習, 歩行練習, 歩容改善, 起立、着座動作練習, 認知面への介入, 教育、指導</t>
        </is>
      </c>
    </row>
    <row r="198" ht="22.5" customHeight="1">
      <c r="A198" s="32" t="n">
        <v>46104.47114998843</v>
      </c>
      <c r="B198" s="3" t="inlineStr">
        <is>
          <t>飯田美智子</t>
        </is>
      </c>
      <c r="C198" s="3" t="inlineStr">
        <is>
          <t>広島県厚生農業協同組合連合会広島総合病院</t>
        </is>
      </c>
      <c r="D198" s="3" t="inlineStr">
        <is>
          <t>広島県</t>
        </is>
      </c>
      <c r="E198" s="3" t="inlineStr">
        <is>
          <t>to.honma@hirokouren.or.jp</t>
        </is>
      </c>
      <c r="F198" s="3" t="inlineStr">
        <is>
          <t>リハビリテーション科／理学療法士</t>
        </is>
      </c>
      <c r="G198" s="3" t="n">
        <v>149</v>
      </c>
      <c r="H198" s="3" t="n">
        <v>14</v>
      </c>
      <c r="I198" s="3" t="n">
        <v>3</v>
      </c>
      <c r="J198" s="3" t="inlineStr">
        <is>
          <t>届け出はしていないが、現在検討中である</t>
        </is>
      </c>
      <c r="K198" s="3" t="inlineStr">
        <is>
          <t>関節可動域運動, 筋力増強運動, 自主運動指導, 離床（例：車椅子移乗,立位,歩行など）</t>
        </is>
      </c>
      <c r="L198" s="3" t="inlineStr">
        <is>
          <t>全症例の0％〜24％程度</t>
        </is>
      </c>
      <c r="N198" s="3" t="inlineStr">
        <is>
          <t>全症例の0％〜24％程度</t>
        </is>
      </c>
      <c r="P198" s="3" t="inlineStr">
        <is>
          <t>全症例の0％〜24％程度</t>
        </is>
      </c>
      <c r="R198" s="3" t="inlineStr">
        <is>
          <t>全症例の0％〜24％程度</t>
        </is>
      </c>
      <c r="T198" s="3" t="inlineStr">
        <is>
          <t>実施していない</t>
        </is>
      </c>
      <c r="V198" s="3" t="inlineStr">
        <is>
          <t>実施していない</t>
        </is>
      </c>
      <c r="X198" s="3" t="inlineStr">
        <is>
          <t>実施していない</t>
        </is>
      </c>
      <c r="Z198" s="3" t="inlineStr">
        <is>
          <t>Barthel Index（BI）, FIM</t>
        </is>
      </c>
      <c r="AB198" s="3" t="inlineStr">
        <is>
          <t>MMSE, MoCA, 患者の状態によっては行う</t>
        </is>
      </c>
      <c r="AD198" s="3" t="inlineStr">
        <is>
          <t>実施していない</t>
        </is>
      </c>
      <c r="AE198" s="3" t="inlineStr">
        <is>
          <t>理由なし</t>
        </is>
      </c>
      <c r="AI198" s="3" t="inlineStr">
        <is>
          <t>環境調整, 補助具、装具の適正化, 教育、指導</t>
        </is>
      </c>
    </row>
    <row r="199" ht="22.5" customHeight="1">
      <c r="A199" s="32" t="n">
        <v>46104.4845206713</v>
      </c>
      <c r="B199" s="3" t="inlineStr">
        <is>
          <t>田口嘉一</t>
        </is>
      </c>
      <c r="C199" s="3" t="inlineStr">
        <is>
          <t>徳島赤十字病院</t>
        </is>
      </c>
      <c r="D199" s="3" t="inlineStr">
        <is>
          <t>徳島県</t>
        </is>
      </c>
      <c r="E199" s="3" t="inlineStr">
        <is>
          <t>reha@tokushima-med.jrc.or.jp</t>
        </is>
      </c>
      <c r="G199" s="3" t="n">
        <v>142</v>
      </c>
      <c r="H199" s="3" t="n">
        <v>16</v>
      </c>
      <c r="I199" s="3" t="n">
        <v>4</v>
      </c>
      <c r="J199" s="3" t="inlineStr">
        <is>
          <t>届け出をしておらず、検討もしていない</t>
        </is>
      </c>
      <c r="K199" s="3" t="inlineStr">
        <is>
          <t>関節可動域運動, 筋力増強運動, DVT予防, ポジショニング, 自主運動指導, 術後リハビリテーションのオリエンテーション</t>
        </is>
      </c>
      <c r="L199" s="3" t="inlineStr">
        <is>
          <t>全症例の50％〜74％程度</t>
        </is>
      </c>
      <c r="M199" s="3" t="inlineStr">
        <is>
          <t>療法士が体重を支える。鎮痛薬使用。</t>
        </is>
      </c>
      <c r="N199" s="3" t="inlineStr">
        <is>
          <t>全症例の25％〜49％程度</t>
        </is>
      </c>
      <c r="O199" s="3" t="inlineStr">
        <is>
          <t>細かな説明と声掛け</t>
        </is>
      </c>
      <c r="P199" s="3" t="inlineStr">
        <is>
          <t>全症例の25％〜49％程度</t>
        </is>
      </c>
      <c r="R199" s="3" t="inlineStr">
        <is>
          <t>全症例の0％〜24％程度</t>
        </is>
      </c>
      <c r="T199" s="3" t="inlineStr">
        <is>
          <t>握力, 膝伸展筋力, 5回椅子立ち上がりテスト, 歩行速度, SPPB, TUG, 6分間歩行距離, 骨格筋量指数（SMI）, 下腿周径</t>
        </is>
      </c>
      <c r="V199" s="3" t="inlineStr">
        <is>
          <t>Frailty Index（累積欠損モデル）, TUG, 6分間歩行距離, 握力</t>
        </is>
      </c>
      <c r="X199" s="3" t="inlineStr">
        <is>
          <t>立ち上がりテスト</t>
        </is>
      </c>
      <c r="Z199" s="3" t="inlineStr">
        <is>
          <t>Barthel Index（BI）</t>
        </is>
      </c>
      <c r="AB199" s="3" t="inlineStr">
        <is>
          <t>MMSE, HDS-R, MoCA</t>
        </is>
      </c>
      <c r="AD199" s="3" t="inlineStr">
        <is>
          <t>過去の転倒歴</t>
        </is>
      </c>
      <c r="AF199" s="3" t="inlineStr">
        <is>
          <t>決まっていない</t>
        </is>
      </c>
      <c r="AH199" s="3" t="inlineStr">
        <is>
          <t>統一されていない</t>
        </is>
      </c>
      <c r="AI199" s="3" t="inlineStr">
        <is>
          <t>下肢筋力強化, バランス練習, 歩行練習, 起立、着座動作練習, 環境調整, 補助具、装具の適正化, 認知面への介入</t>
        </is>
      </c>
    </row>
    <row r="200" ht="22.5" customHeight="1">
      <c r="A200" s="32" t="n">
        <v>46104.49736945602</v>
      </c>
      <c r="B200" s="3" t="inlineStr">
        <is>
          <t>近藤佳祐</t>
        </is>
      </c>
      <c r="C200" s="3" t="inlineStr">
        <is>
          <t>医療法人眞幸会　草加松原整形外科医院</t>
        </is>
      </c>
      <c r="D200" s="3" t="inlineStr">
        <is>
          <t>埼玉県</t>
        </is>
      </c>
      <c r="E200" s="3" t="inlineStr">
        <is>
          <t>soumatsu.reha@shinko-kai.or.jp</t>
        </is>
      </c>
      <c r="F200" s="3" t="inlineStr">
        <is>
          <t>リハビリテーション科/理学療法士</t>
        </is>
      </c>
      <c r="G200" s="3" t="n">
        <v>68</v>
      </c>
      <c r="H200" s="3" t="n">
        <v>2</v>
      </c>
      <c r="I200" s="3" t="n">
        <v>0</v>
      </c>
      <c r="J200" s="3" t="inlineStr">
        <is>
          <t>届け出をしておらず、検討もしていない</t>
        </is>
      </c>
      <c r="K200" s="3" t="inlineStr">
        <is>
          <t>関節可動域運動, 筋力増強運動, DVT予防, ポジショニング, 離床（例：車椅子移乗,立位,歩行など）</t>
        </is>
      </c>
      <c r="L200" s="3" t="inlineStr">
        <is>
          <t>全症例の50％〜74％程度</t>
        </is>
      </c>
      <c r="M200" s="3" t="inlineStr">
        <is>
          <t>早期座位指導、トイレ移乗での立位訓練</t>
        </is>
      </c>
      <c r="N200" s="3" t="inlineStr">
        <is>
          <t>全症例の0％〜24％程度</t>
        </is>
      </c>
      <c r="P200" s="3" t="inlineStr">
        <is>
          <t>全症例の0％〜24％程度</t>
        </is>
      </c>
      <c r="R200" s="3" t="inlineStr">
        <is>
          <t>全症例の0％〜24％程度</t>
        </is>
      </c>
      <c r="T200" s="3" t="inlineStr">
        <is>
          <t>膝伸展筋力, 5回椅子立ち上がりテスト, 歩行速度, 骨格筋量指数（SMI）</t>
        </is>
      </c>
      <c r="V200" s="3" t="inlineStr">
        <is>
          <t>TUG, 認知機能, 抑うつや意欲低下</t>
        </is>
      </c>
      <c r="X200" s="3" t="inlineStr">
        <is>
          <t>実施していない</t>
        </is>
      </c>
      <c r="Y200" s="3" t="inlineStr">
        <is>
          <t>当院の評価バッテリーに含まれていない</t>
        </is>
      </c>
      <c r="Z200" s="3" t="inlineStr">
        <is>
          <t>FIM</t>
        </is>
      </c>
      <c r="AB200" s="3" t="inlineStr">
        <is>
          <t>HDS-R</t>
        </is>
      </c>
      <c r="AD200" s="3" t="inlineStr">
        <is>
          <t>定量的な下肢筋力測定, TUG, 認知機能, せん妄, 過去の転倒歴, 既往疾患の有無（脳血管疾患、パーキンソン病など）, 薬剤（向精神薬、降圧薬、利尿薬、ポリファーマシーなど）, ベッド周囲および病室環境</t>
        </is>
      </c>
      <c r="AF200" s="3" t="inlineStr">
        <is>
          <t>決まっている</t>
        </is>
      </c>
      <c r="AG200" s="3" t="inlineStr">
        <is>
          <t>認知機能、転倒歴、既往の有無は入院時　　他は必要に応じ随時評価を実施している</t>
        </is>
      </c>
      <c r="AI200" s="3" t="inlineStr">
        <is>
          <t>下肢筋力強化, バランス練習, 歩行練習, 歩容改善, 起立、着座動作練習, 環境調整, 補助具、装具の適正化, 認知面への介入, 薬剤調整, 教育、指導</t>
        </is>
      </c>
    </row>
    <row r="201" ht="22.5" customHeight="1">
      <c r="A201" s="32" t="n">
        <v>46104.50838196759</v>
      </c>
      <c r="B201" s="3" t="inlineStr">
        <is>
          <t>吉田　真希</t>
        </is>
      </c>
      <c r="C201" s="3" t="inlineStr">
        <is>
          <t>東京都立荏原病院</t>
        </is>
      </c>
      <c r="D201" s="3" t="inlineStr">
        <is>
          <t>東京都</t>
        </is>
      </c>
      <c r="E201" s="3" t="inlineStr">
        <is>
          <t>maki_yoshida@tmhp.jp</t>
        </is>
      </c>
      <c r="F201" s="3" t="inlineStr">
        <is>
          <t>リハビリテーション科　理学療法士</t>
        </is>
      </c>
      <c r="G201" s="3" t="n">
        <v>170</v>
      </c>
      <c r="H201" s="3" t="n">
        <v>11</v>
      </c>
      <c r="I201" s="3" t="n">
        <v>5</v>
      </c>
      <c r="J201" s="3" t="inlineStr">
        <is>
          <t>届け出をしておらず、検討もしていない</t>
        </is>
      </c>
      <c r="K201" s="3" t="inlineStr">
        <is>
          <t>関節可動域運動, 筋力増強運動, 呼吸リハビリテーション, DVT予防, リラクセーション, ポジショニング, 自主運動指導, 術後リハビリテーションのオリエンテーション, 離床（例：車椅子移乗,立位,歩行など）</t>
        </is>
      </c>
      <c r="L201" s="3" t="inlineStr">
        <is>
          <t>全症例の25％〜49％程度</t>
        </is>
      </c>
      <c r="N201" s="3" t="inlineStr">
        <is>
          <t>全症例の0％〜24％程度</t>
        </is>
      </c>
      <c r="P201" s="3" t="inlineStr">
        <is>
          <t>全症例の0％〜24％程度</t>
        </is>
      </c>
      <c r="R201" s="3" t="inlineStr">
        <is>
          <t>全症例の0％〜24％程度</t>
        </is>
      </c>
      <c r="T201" s="3" t="inlineStr">
        <is>
          <t>握力, 歩行速度</t>
        </is>
      </c>
      <c r="V201" s="3" t="inlineStr">
        <is>
          <t>握力</t>
        </is>
      </c>
      <c r="X201" s="3" t="inlineStr">
        <is>
          <t>実施していない</t>
        </is>
      </c>
      <c r="Y201" s="3" t="inlineStr">
        <is>
          <t>上記評価を行える患者が少ないため。</t>
        </is>
      </c>
      <c r="Z201" s="3" t="inlineStr">
        <is>
          <t>FIM</t>
        </is>
      </c>
      <c r="AB201" s="3" t="inlineStr">
        <is>
          <t>実施していない</t>
        </is>
      </c>
      <c r="AC201" s="3" t="inlineStr">
        <is>
          <t>看護師がAMTSを評価しているため。</t>
        </is>
      </c>
      <c r="AD201" s="3" t="inlineStr">
        <is>
          <t>10m歩行速度, 握力</t>
        </is>
      </c>
      <c r="AF201" s="3" t="inlineStr">
        <is>
          <t>決まっていない</t>
        </is>
      </c>
      <c r="AH201" s="3" t="inlineStr">
        <is>
          <t>入院期間が患者により変動すること、評価可能な時期に差があることから。</t>
        </is>
      </c>
      <c r="AI201" s="3" t="inlineStr">
        <is>
          <t>下肢筋力強化, バランス練習, 歩行練習, 歩容改善, 起立、着座動作練習, 環境調整, 補助具、装具の適正化, 認知面への介入, 行動面への介入, 教育、指導</t>
        </is>
      </c>
    </row>
    <row r="202" ht="22.5" customHeight="1">
      <c r="A202" s="32" t="n">
        <v>46104.53829297454</v>
      </c>
      <c r="B202" s="3" t="inlineStr">
        <is>
          <t>宇野晃輔</t>
        </is>
      </c>
      <c r="C202" s="3" t="inlineStr">
        <is>
          <t>宇城総合病院</t>
        </is>
      </c>
      <c r="D202" s="3" t="inlineStr">
        <is>
          <t>熊本県</t>
        </is>
      </c>
      <c r="E202" s="3" t="inlineStr">
        <is>
          <t>ukisogo-pt@reimeikai.jp</t>
        </is>
      </c>
      <c r="F202" s="3" t="inlineStr">
        <is>
          <t>リハビリテーション部／理学療法士</t>
        </is>
      </c>
      <c r="G202" s="3" t="n">
        <v>255</v>
      </c>
      <c r="H202" s="3" t="n">
        <v>32</v>
      </c>
      <c r="I202" s="3" t="n">
        <v>19</v>
      </c>
      <c r="J202" s="3" t="inlineStr">
        <is>
          <t>届け出はしていないが、現在検討中である</t>
        </is>
      </c>
      <c r="K202" s="3" t="inlineStr">
        <is>
          <t>関節可動域運動, 筋力増強運動, 呼吸リハビリテーション, DVT予防, 術後リハビリテーションのオリエンテーション</t>
        </is>
      </c>
      <c r="L202" s="3" t="inlineStr">
        <is>
          <t>全症例の50％〜74％程度</t>
        </is>
      </c>
      <c r="M202" s="3" t="inlineStr">
        <is>
          <t>アイシング、疼痛が少ない動作介助</t>
        </is>
      </c>
      <c r="N202" s="3" t="inlineStr">
        <is>
          <t>全症例の25％〜49％程度</t>
        </is>
      </c>
      <c r="O202" s="3" t="inlineStr">
        <is>
          <t>回答なし</t>
        </is>
      </c>
      <c r="P202" s="3" t="inlineStr">
        <is>
          <t>全症例の0％〜24％程度</t>
        </is>
      </c>
      <c r="Q202" s="3" t="inlineStr">
        <is>
          <t>回答なし</t>
        </is>
      </c>
      <c r="R202" s="3" t="inlineStr">
        <is>
          <t>全症例の0％〜24％程度</t>
        </is>
      </c>
      <c r="S202" s="3" t="inlineStr">
        <is>
          <t>回答なし</t>
        </is>
      </c>
      <c r="T202" s="3" t="inlineStr">
        <is>
          <t>握力, 膝伸展筋力, 5回椅子立ち上がりテスト, 歩行速度, SPPB, TUG, 6分間歩行距離, 開眼片脚立位時間, 下腿周径</t>
        </is>
      </c>
      <c r="U202" s="3" t="inlineStr">
        <is>
          <t>回答なし</t>
        </is>
      </c>
      <c r="V202" s="3" t="inlineStr">
        <is>
          <t>TUG</t>
        </is>
      </c>
      <c r="W202" s="3" t="inlineStr">
        <is>
          <t>回答なし</t>
        </is>
      </c>
      <c r="X202" s="3" t="inlineStr">
        <is>
          <t>実施していない</t>
        </is>
      </c>
      <c r="Y202" s="3" t="inlineStr">
        <is>
          <t>急性期、高齢で実施が難しい患者が多い為</t>
        </is>
      </c>
      <c r="Z202" s="3" t="inlineStr">
        <is>
          <t>Barthel Index（BI）, FIM</t>
        </is>
      </c>
      <c r="AA202" s="3" t="inlineStr">
        <is>
          <t>回答なし</t>
        </is>
      </c>
      <c r="AB202" s="3" t="inlineStr">
        <is>
          <t>MMSE, HDS-R, AMTS</t>
        </is>
      </c>
      <c r="AC202" s="3" t="inlineStr">
        <is>
          <t>回答なし</t>
        </is>
      </c>
      <c r="AD202" s="3" t="inlineStr">
        <is>
          <t>実施していない</t>
        </is>
      </c>
      <c r="AE202" s="3" t="inlineStr">
        <is>
          <t>定めていないが、各個人の判断で適宜実施している</t>
        </is>
      </c>
      <c r="AF202" s="3" t="inlineStr">
        <is>
          <t>わからない</t>
        </is>
      </c>
      <c r="AG202" s="3" t="inlineStr">
        <is>
          <t>回答なし</t>
        </is>
      </c>
      <c r="AH202" s="3" t="inlineStr">
        <is>
          <t>患者の状態に幅があり、統一した運動評価が難しい。全スタッフの理解が十分に得られない</t>
        </is>
      </c>
      <c r="AI202" s="3" t="inlineStr">
        <is>
          <t>下肢筋力強化, バランス練習, 歩行練習, 歩容改善, 起立、着座動作練習, 環境調整, 補助具、装具の適正化, 認知面への介入, 行動面への介入, 教育、指導</t>
        </is>
      </c>
      <c r="AJ202" s="3" t="inlineStr">
        <is>
          <t>回答なし</t>
        </is>
      </c>
    </row>
    <row r="203" ht="22.5" customHeight="1">
      <c r="A203" s="32" t="n">
        <v>46104.57438613426</v>
      </c>
      <c r="B203" s="3" t="inlineStr">
        <is>
          <t>大場　裕之</t>
        </is>
      </c>
      <c r="C203" s="3" t="inlineStr">
        <is>
          <t>医療法人慧明会　貞松病院</t>
        </is>
      </c>
      <c r="D203" s="3" t="inlineStr">
        <is>
          <t>長崎県</t>
        </is>
      </c>
      <c r="E203" s="3" t="inlineStr">
        <is>
          <t>ooba0715@yahoo.co.jp</t>
        </is>
      </c>
      <c r="F203" s="3" t="inlineStr">
        <is>
          <t>リハビリテーション科／理学療法士</t>
        </is>
      </c>
      <c r="G203" s="3" t="n">
        <v>73</v>
      </c>
      <c r="H203" s="3" t="n">
        <v>28</v>
      </c>
      <c r="I203" s="3" t="n">
        <v>10</v>
      </c>
      <c r="J203" s="3" t="inlineStr">
        <is>
          <t>届け出をしておらず、検討もしていない</t>
        </is>
      </c>
      <c r="K203" s="3" t="inlineStr">
        <is>
          <t>関節可動域運動, 筋力増強運動, 呼吸リハビリテーション, DVT予防, ポジショニング, 自主運動指導, 術後リハビリテーションのオリエンテーション</t>
        </is>
      </c>
      <c r="L203" s="3" t="inlineStr">
        <is>
          <t>全症例の0％〜24％程度</t>
        </is>
      </c>
      <c r="N203" s="3" t="inlineStr">
        <is>
          <t>全症例の0％〜24％程度</t>
        </is>
      </c>
      <c r="P203" s="3" t="inlineStr">
        <is>
          <t>全症例の0％〜24％程度</t>
        </is>
      </c>
      <c r="R203" s="3" t="inlineStr">
        <is>
          <t>全症例の0％〜24％程度</t>
        </is>
      </c>
      <c r="T203" s="3" t="inlineStr">
        <is>
          <t>実施していない</t>
        </is>
      </c>
      <c r="U203" s="3" t="inlineStr">
        <is>
          <t>個人で実施しているスタッフはいるが、病院としてはリハ算定できる項目ではない為取り組んでいない</t>
        </is>
      </c>
      <c r="V203" s="3" t="inlineStr">
        <is>
          <t>実施していない</t>
        </is>
      </c>
      <c r="W203" s="3" t="inlineStr">
        <is>
          <t>病院としてリハ算定対象ではないため実施していない</t>
        </is>
      </c>
      <c r="X203" s="3" t="inlineStr">
        <is>
          <t>実施していない</t>
        </is>
      </c>
      <c r="Y203" s="3" t="inlineStr">
        <is>
          <t>リハ算定できる疾患ではない為</t>
        </is>
      </c>
      <c r="Z203" s="3" t="inlineStr">
        <is>
          <t>FIM</t>
        </is>
      </c>
      <c r="AB203" s="3" t="inlineStr">
        <is>
          <t>HDS-R, AMTS</t>
        </is>
      </c>
      <c r="AD203" s="3" t="inlineStr">
        <is>
          <t>実施していない</t>
        </is>
      </c>
      <c r="AE203" s="3" t="inlineStr">
        <is>
          <t>各スタッフ理学療法としての評価は実施しているがＦＬＳの一環としては実施していない。ＦＬＳとしては患者教育（再発予防）を実施している。</t>
        </is>
      </c>
      <c r="AI203" s="3" t="inlineStr">
        <is>
          <t>下肢筋力強化, バランス練習, 歩行練習, 起立、着座動作練習, 環境調整, 補助具、装具の適正化, 認知面への介入, 行動面への介入, 教育、指導</t>
        </is>
      </c>
    </row>
    <row r="204" ht="22.5" customHeight="1">
      <c r="A204" s="32" t="n">
        <v>46104.59206831019</v>
      </c>
      <c r="B204" s="3" t="inlineStr">
        <is>
          <t>中山　雅子</t>
        </is>
      </c>
      <c r="C204" s="3" t="inlineStr">
        <is>
          <t>きたじま田岡病院</t>
        </is>
      </c>
      <c r="D204" s="3" t="inlineStr">
        <is>
          <t>徳島県</t>
        </is>
      </c>
      <c r="E204" s="3" t="inlineStr">
        <is>
          <t>kitajima_reha@taoka.or.jp</t>
        </is>
      </c>
      <c r="F204" s="3" t="inlineStr">
        <is>
          <t>リハビリテーション科／理学療法士</t>
        </is>
      </c>
      <c r="G204" s="3" t="n">
        <v>113</v>
      </c>
      <c r="H204" s="3" t="n">
        <v>105</v>
      </c>
      <c r="I204" s="3" t="n">
        <v>43</v>
      </c>
      <c r="J204" s="3" t="inlineStr">
        <is>
          <t>現在、算定している</t>
        </is>
      </c>
      <c r="K204" s="3" t="inlineStr">
        <is>
          <t>関節可動域運動, 筋力増強運動, DVT予防, リラクセーション, 自主運動指導, 術後リハビリテーションのオリエンテーション</t>
        </is>
      </c>
      <c r="L204" s="3" t="inlineStr">
        <is>
          <t>全症例の50％〜74％程度</t>
        </is>
      </c>
      <c r="M204" s="3" t="inlineStr">
        <is>
          <t>炎症コントロール</t>
        </is>
      </c>
      <c r="N204" s="3" t="inlineStr">
        <is>
          <t>全症例の0％〜24％程度</t>
        </is>
      </c>
      <c r="P204" s="3" t="inlineStr">
        <is>
          <t>全症例の50％〜74％程度</t>
        </is>
      </c>
      <c r="Q204" s="3" t="inlineStr">
        <is>
          <t>血液検査数値の確認</t>
        </is>
      </c>
      <c r="R204" s="3" t="inlineStr">
        <is>
          <t>全症例の0％〜24％程度</t>
        </is>
      </c>
      <c r="T204" s="3" t="inlineStr">
        <is>
          <t>SPPB, TUG, 下腿周径</t>
        </is>
      </c>
      <c r="V204" s="3" t="inlineStr">
        <is>
          <t>TUG</t>
        </is>
      </c>
      <c r="X204" s="3" t="inlineStr">
        <is>
          <t>立ち上がりテスト</t>
        </is>
      </c>
      <c r="Z204" s="3" t="inlineStr">
        <is>
          <t>Barthel Index（BI）</t>
        </is>
      </c>
      <c r="AB204" s="3" t="inlineStr">
        <is>
          <t>MMSE, HDS-R</t>
        </is>
      </c>
      <c r="AD204" s="3" t="inlineStr">
        <is>
          <t>TUG, 認知機能, CS-30</t>
        </is>
      </c>
      <c r="AF204" s="3" t="inlineStr">
        <is>
          <t>決まっていない</t>
        </is>
      </c>
      <c r="AH204" s="3" t="inlineStr">
        <is>
          <t>評価可能な日　歩行可能になってから</t>
        </is>
      </c>
      <c r="AI204" s="3" t="inlineStr">
        <is>
          <t>下肢筋力強化, バランス練習, 歩行練習, 歩容改善, 起立、着座動作練習, 環境調整, 補助具、装具の適正化, 教育、指導</t>
        </is>
      </c>
    </row>
    <row r="205" ht="22.5" customHeight="1">
      <c r="A205" s="32" t="n">
        <v>46104.6200981713</v>
      </c>
      <c r="B205" s="3" t="inlineStr">
        <is>
          <t>宮田　耕治</t>
        </is>
      </c>
      <c r="C205" s="3" t="inlineStr">
        <is>
          <t>市立ひらかた病院</t>
        </is>
      </c>
      <c r="D205" s="3" t="inlineStr">
        <is>
          <t>大阪府</t>
        </is>
      </c>
      <c r="E205" s="3" t="inlineStr">
        <is>
          <t>hirakatariha@yahoo.co.jp</t>
        </is>
      </c>
      <c r="F205" s="3" t="inlineStr">
        <is>
          <t>リハビリテーション科/理学療法士</t>
        </is>
      </c>
      <c r="G205" s="3" t="n">
        <v>87</v>
      </c>
      <c r="H205" s="3" t="n">
        <v>7</v>
      </c>
      <c r="I205" s="3" t="n">
        <v>2</v>
      </c>
      <c r="J205" s="3" t="inlineStr">
        <is>
          <t>届け出をしておらず、検討もしていない</t>
        </is>
      </c>
      <c r="K205" s="3" t="inlineStr">
        <is>
          <t>関節可動域運動, 筋力増強運動, リラクセーション</t>
        </is>
      </c>
      <c r="L205" s="3" t="inlineStr">
        <is>
          <t>全症例の0％〜24％程度</t>
        </is>
      </c>
      <c r="N205" s="3" t="inlineStr">
        <is>
          <t>全症例の0％〜24％程度</t>
        </is>
      </c>
      <c r="P205" s="3" t="inlineStr">
        <is>
          <t>全症例の0％〜24％程度</t>
        </is>
      </c>
      <c r="R205" s="3" t="inlineStr">
        <is>
          <t>全症例の0％〜24％程度</t>
        </is>
      </c>
      <c r="T205" s="3" t="inlineStr">
        <is>
          <t>膝伸展筋力</t>
        </is>
      </c>
      <c r="V205" s="3" t="inlineStr">
        <is>
          <t>実施していない</t>
        </is>
      </c>
      <c r="W205" s="3" t="inlineStr">
        <is>
          <t>器具の使用やより簡略化した評価方法があれば検討する。</t>
        </is>
      </c>
      <c r="X205" s="3" t="inlineStr">
        <is>
          <t>実施していない</t>
        </is>
      </c>
      <c r="Y205" s="3" t="inlineStr">
        <is>
          <t>簡略化した評価方法であれば検討する。安全が確保しにくい。</t>
        </is>
      </c>
      <c r="Z205" s="3" t="inlineStr">
        <is>
          <t>Barthel Index（BI）</t>
        </is>
      </c>
      <c r="AB205" s="3" t="inlineStr">
        <is>
          <t>実施していない</t>
        </is>
      </c>
      <c r="AC205" s="3" t="inlineStr">
        <is>
          <t>関わる職種のほとんどが理学療法士だから。</t>
        </is>
      </c>
      <c r="AD205" s="3" t="inlineStr">
        <is>
          <t>実施していない</t>
        </is>
      </c>
      <c r="AI205" s="3" t="inlineStr">
        <is>
          <t>下肢筋力強化, バランス練習, 歩行練習, 歩容改善, 起立、着座動作練習, 環境調整, 補助具、装具の適正化, 行動面への介入</t>
        </is>
      </c>
    </row>
    <row r="206" ht="22.5" customHeight="1">
      <c r="A206" s="32" t="n">
        <v>46104.64731174769</v>
      </c>
      <c r="B206" s="3" t="inlineStr">
        <is>
          <t>小椋雅也</t>
        </is>
      </c>
      <c r="C206" s="3" t="inlineStr">
        <is>
          <t>北播磨総合医療センター</t>
        </is>
      </c>
      <c r="D206" s="3" t="inlineStr">
        <is>
          <t>兵庫県</t>
        </is>
      </c>
      <c r="E206" s="3" t="inlineStr">
        <is>
          <t>khmc.pt.ogura@gmail.com</t>
        </is>
      </c>
      <c r="G206" s="3" t="n">
        <v>135</v>
      </c>
      <c r="H206" s="3" t="n">
        <v>12</v>
      </c>
      <c r="I206" s="3" t="n">
        <v>4</v>
      </c>
      <c r="J206" s="3" t="inlineStr">
        <is>
          <t>届け出はしていないが、現在検討中である</t>
        </is>
      </c>
      <c r="K206" s="3" t="inlineStr">
        <is>
          <t>実施していない</t>
        </is>
      </c>
      <c r="L206" s="3" t="inlineStr">
        <is>
          <t>全症例の25％〜49％程度</t>
        </is>
      </c>
      <c r="N206" s="3" t="inlineStr">
        <is>
          <t>全症例の25％〜49％程度</t>
        </is>
      </c>
      <c r="P206" s="3" t="inlineStr">
        <is>
          <t>全症例の25％〜49％程度</t>
        </is>
      </c>
      <c r="R206" s="3" t="inlineStr">
        <is>
          <t>全症例の0％〜24％程度</t>
        </is>
      </c>
      <c r="T206" s="3" t="inlineStr">
        <is>
          <t>実施していない</t>
        </is>
      </c>
      <c r="U206" s="3" t="inlineStr">
        <is>
          <t>受傷前との比較が行えないため</t>
        </is>
      </c>
      <c r="V206" s="3" t="inlineStr">
        <is>
          <t>実施していない</t>
        </is>
      </c>
      <c r="W206" s="3" t="inlineStr">
        <is>
          <t>受傷前との比較が行えないため</t>
        </is>
      </c>
      <c r="X206" s="3" t="inlineStr">
        <is>
          <t>実施していない</t>
        </is>
      </c>
      <c r="Y206" s="3" t="inlineStr">
        <is>
          <t>ロコモティブシンドロームに関する指導を行わないため</t>
        </is>
      </c>
      <c r="Z206" s="3" t="inlineStr">
        <is>
          <t>FIM</t>
        </is>
      </c>
      <c r="AB206" s="3" t="inlineStr">
        <is>
          <t>実施していない</t>
        </is>
      </c>
      <c r="AC206" s="3" t="inlineStr">
        <is>
          <t>他部門の情報を参考にするため</t>
        </is>
      </c>
      <c r="AD206" s="3" t="inlineStr">
        <is>
          <t>実施していない</t>
        </is>
      </c>
      <c r="AE206" s="3" t="inlineStr">
        <is>
          <t>患者ごとに情報収集するため、一律の評価は行っていない</t>
        </is>
      </c>
      <c r="AI206" s="3" t="inlineStr">
        <is>
          <t>下肢筋力強化, バランス練習, 歩行練習, 歩容改善, 起立、着座動作練習, 環境調整, 補助具、装具の適正化</t>
        </is>
      </c>
    </row>
    <row r="207" ht="22.5" customHeight="1">
      <c r="A207" s="32" t="n">
        <v>46104.65867399306</v>
      </c>
      <c r="B207" s="3" t="inlineStr">
        <is>
          <t>伊藤 麻起子</t>
        </is>
      </c>
      <c r="C207" s="3" t="inlineStr">
        <is>
          <t>保健会　谷津保健病院</t>
        </is>
      </c>
      <c r="D207" s="3" t="inlineStr">
        <is>
          <t>千葉県</t>
        </is>
      </c>
      <c r="E207" s="3" t="inlineStr">
        <is>
          <t>m.ito@yatsu.or.jp</t>
        </is>
      </c>
      <c r="F207" s="3" t="inlineStr">
        <is>
          <t>リハビリテーション科/作業療法士</t>
        </is>
      </c>
      <c r="G207" s="3" t="n">
        <v>98</v>
      </c>
      <c r="H207" s="3" t="n">
        <v>16</v>
      </c>
      <c r="I207" s="3" t="n">
        <v>7</v>
      </c>
      <c r="J207" s="3" t="inlineStr">
        <is>
          <t>現在、算定している</t>
        </is>
      </c>
      <c r="K207" s="3" t="inlineStr">
        <is>
          <t>関節可動域運動, 筋力増強運動, 呼吸リハビリテーション, DVT予防, ポジショニング, 自主運動指導, 術後リハビリテーションのオリエンテーション</t>
        </is>
      </c>
      <c r="L207" s="3" t="inlineStr">
        <is>
          <t>全症例の25％〜49％程度</t>
        </is>
      </c>
      <c r="N207" s="3" t="inlineStr">
        <is>
          <t>全症例の0％〜24％程度</t>
        </is>
      </c>
      <c r="P207" s="3" t="inlineStr">
        <is>
          <t>全症例の0％〜24％程度</t>
        </is>
      </c>
      <c r="R207" s="3" t="inlineStr">
        <is>
          <t>全症例の0％〜24％程度</t>
        </is>
      </c>
      <c r="T207" s="3" t="inlineStr">
        <is>
          <t>握力, 歩行速度, TUG, 6分間歩行距離</t>
        </is>
      </c>
      <c r="V207" s="3" t="inlineStr">
        <is>
          <t>TUG, 6分間歩行距離, 握力</t>
        </is>
      </c>
      <c r="X207" s="3" t="inlineStr">
        <is>
          <t>実施していない</t>
        </is>
      </c>
      <c r="Z207" s="3" t="inlineStr">
        <is>
          <t>Barthel Index（BI）</t>
        </is>
      </c>
      <c r="AB207" s="3" t="inlineStr">
        <is>
          <t>必要時MMSE実施　普段は見当識を確認</t>
        </is>
      </c>
      <c r="AD207" s="3" t="inlineStr">
        <is>
          <t>認知機能, 過去の転倒歴, 既往疾患の有無（脳血管疾患、パーキンソン病など）, 薬剤（向精神薬、降圧薬、利尿薬、ポリファーマシーなど）</t>
        </is>
      </c>
      <c r="AF207" s="3" t="inlineStr">
        <is>
          <t>決まっている</t>
        </is>
      </c>
      <c r="AG207" s="3" t="inlineStr">
        <is>
          <t>入院時、入院後２日後、状態変化時</t>
        </is>
      </c>
      <c r="AI207" s="3" t="inlineStr">
        <is>
          <t>下肢筋力強化, バランス練習, 歩行練習, 歩容改善, 起立、着座動作練習, 環境調整, 補助具、装具の適正化, 認知面への介入, 行動面への介入, 教育、指導</t>
        </is>
      </c>
    </row>
    <row r="208" ht="22.5" customHeight="1">
      <c r="A208" s="32" t="n">
        <v>46104.65918270833</v>
      </c>
      <c r="B208" s="3" t="inlineStr">
        <is>
          <t>金　光律</t>
        </is>
      </c>
      <c r="C208" s="3" t="inlineStr">
        <is>
          <t>大阪府済生会泉尾病院</t>
        </is>
      </c>
      <c r="D208" s="3" t="inlineStr">
        <is>
          <t>大阪府</t>
        </is>
      </c>
      <c r="E208" s="3" t="inlineStr">
        <is>
          <t>s.murata@izuo-saiseikai.gr.jp</t>
        </is>
      </c>
      <c r="F208" s="3" t="inlineStr">
        <is>
          <t>リハビリテーション部／理学療法士</t>
        </is>
      </c>
      <c r="G208" s="3" t="n">
        <v>100</v>
      </c>
      <c r="H208" s="3" t="n">
        <v>27</v>
      </c>
      <c r="I208" s="3" t="n">
        <v>5</v>
      </c>
      <c r="J208" s="3" t="inlineStr">
        <is>
          <t>届け出をしておらず、検討もしていない</t>
        </is>
      </c>
      <c r="K208" s="3" t="inlineStr">
        <is>
          <t>関節可動域運動, 筋力増強運動, DVT予防, リラクセーション, ポジショニング</t>
        </is>
      </c>
      <c r="L208" s="3" t="inlineStr">
        <is>
          <t>全症例の25％〜49％程度</t>
        </is>
      </c>
      <c r="N208" s="3" t="inlineStr">
        <is>
          <t>全症例の25％〜49％程度</t>
        </is>
      </c>
      <c r="P208" s="3" t="inlineStr">
        <is>
          <t>全症例の25％〜49％程度</t>
        </is>
      </c>
      <c r="R208" s="3" t="inlineStr">
        <is>
          <t>全症例の25％〜49％程度</t>
        </is>
      </c>
      <c r="T208" s="3" t="inlineStr">
        <is>
          <t>握力, 膝伸展筋力, 5回椅子立ち上がりテスト, 歩行速度, TUG, 開眼片脚立位時間, 下腿周径</t>
        </is>
      </c>
      <c r="V208" s="3" t="inlineStr">
        <is>
          <t>TUG, 握力</t>
        </is>
      </c>
      <c r="X208" s="3" t="inlineStr">
        <is>
          <t>実施していない</t>
        </is>
      </c>
      <c r="Y208" s="3" t="inlineStr">
        <is>
          <t>時間の制約</t>
        </is>
      </c>
      <c r="Z208" s="3" t="inlineStr">
        <is>
          <t>FIM</t>
        </is>
      </c>
      <c r="AB208" s="3" t="inlineStr">
        <is>
          <t>MMSE</t>
        </is>
      </c>
      <c r="AD208" s="3" t="inlineStr">
        <is>
          <t>定量的な下肢筋力測定, 開眼片脚立位時間, TUG, 10m歩行速度, 5回椅子立ち上がりテスト</t>
        </is>
      </c>
      <c r="AF208" s="3" t="inlineStr">
        <is>
          <t>決まっている</t>
        </is>
      </c>
      <c r="AG208" s="3" t="inlineStr">
        <is>
          <t>おおよそ、2週間以内</t>
        </is>
      </c>
      <c r="AI208" s="3" t="inlineStr">
        <is>
          <t>下肢筋力強化, バランス練習, 歩行練習, 歩容改善, 起立、着座動作練習, 環境調整, 教育、指導</t>
        </is>
      </c>
    </row>
    <row r="209" ht="22.5" customHeight="1">
      <c r="A209" s="32" t="n">
        <v>46104.66208038195</v>
      </c>
      <c r="B209" s="3" t="inlineStr">
        <is>
          <t>田中　耕嗣</t>
        </is>
      </c>
      <c r="C209" s="3" t="inlineStr">
        <is>
          <t>南奈良総合医療センター</t>
        </is>
      </c>
      <c r="D209" s="3" t="inlineStr">
        <is>
          <t>奈良県</t>
        </is>
      </c>
      <c r="E209" s="3" t="inlineStr">
        <is>
          <t>tanaka-koji@nanwairyou.jp</t>
        </is>
      </c>
      <c r="F209" s="3" t="inlineStr">
        <is>
          <t>リハビリテーション部</t>
        </is>
      </c>
      <c r="G209" s="3" t="n">
        <v>174</v>
      </c>
      <c r="H209" s="3" t="n">
        <v>11</v>
      </c>
      <c r="I209" s="3" t="n">
        <v>1</v>
      </c>
      <c r="J209" s="3" t="inlineStr">
        <is>
          <t>届け出をしておらず、検討もしていない</t>
        </is>
      </c>
      <c r="K209" s="3" t="inlineStr">
        <is>
          <t>実施していない</t>
        </is>
      </c>
      <c r="L209" s="3" t="inlineStr">
        <is>
          <t>全症例の0％〜24％程度</t>
        </is>
      </c>
      <c r="N209" s="3" t="inlineStr">
        <is>
          <t>全症例の0％〜24％程度</t>
        </is>
      </c>
      <c r="P209" s="3" t="inlineStr">
        <is>
          <t>全症例の0％〜24％程度</t>
        </is>
      </c>
      <c r="R209" s="3" t="inlineStr">
        <is>
          <t>全症例の0％〜24％程度</t>
        </is>
      </c>
      <c r="T209" s="3" t="inlineStr">
        <is>
          <t>握力, 膝伸展筋力, 5回椅子立ち上がりテスト, 歩行速度, TUG, 下腿周径</t>
        </is>
      </c>
      <c r="V209" s="3" t="inlineStr">
        <is>
          <t>TUG, 認知機能, 握力</t>
        </is>
      </c>
      <c r="X209" s="3" t="inlineStr">
        <is>
          <t>立ち上がりテスト</t>
        </is>
      </c>
      <c r="Z209" s="3" t="inlineStr">
        <is>
          <t>FIM</t>
        </is>
      </c>
      <c r="AB209" s="3" t="inlineStr">
        <is>
          <t>MMSE, MoCA</t>
        </is>
      </c>
      <c r="AD209" s="3" t="inlineStr">
        <is>
          <t>定量的な下肢筋力測定, TUG, 10m歩行速度, Berg Balance Scale（BBS）, 5回椅子立ち上がりテスト, 認知機能, ベッド周囲および病室環境</t>
        </is>
      </c>
      <c r="AF209" s="3" t="inlineStr">
        <is>
          <t>決まっている</t>
        </is>
      </c>
      <c r="AG209" s="3" t="inlineStr">
        <is>
          <t>FLSカンファレンスで対象となった患者に対し実施する。術後２週間以内</t>
        </is>
      </c>
      <c r="AI209" s="3" t="inlineStr">
        <is>
          <t>下肢筋力強化, バランス練習, 歩行練習, 歩容改善, 起立、着座動作練習, 環境調整, 補助具、装具の適正化, 認知面への介入, 行動面への介入, 教育、指導</t>
        </is>
      </c>
    </row>
    <row r="210" ht="22.5" customHeight="1">
      <c r="A210" s="32" t="n">
        <v>46104.66974711805</v>
      </c>
      <c r="B210" s="3" t="inlineStr">
        <is>
          <t>大八木　聡</t>
        </is>
      </c>
      <c r="C210" s="3" t="inlineStr">
        <is>
          <t>社会医療法人誠光会</t>
        </is>
      </c>
      <c r="D210" s="3" t="inlineStr">
        <is>
          <t>滋賀県</t>
        </is>
      </c>
      <c r="E210" s="3" t="inlineStr">
        <is>
          <t>satoshi721@seikoukai-sc.or.jp</t>
        </is>
      </c>
      <c r="F210" s="3" t="inlineStr">
        <is>
          <t>リハビリテーション部／理学療法士</t>
        </is>
      </c>
      <c r="G210" s="3" t="n">
        <v>168</v>
      </c>
      <c r="H210" s="3" t="n">
        <v>18.8</v>
      </c>
      <c r="I210" s="3" t="n">
        <v>6.8</v>
      </c>
      <c r="J210" s="3" t="inlineStr">
        <is>
          <t>現在、算定している</t>
        </is>
      </c>
      <c r="K210" s="3" t="inlineStr">
        <is>
          <t>DVT予防, 術後リハビリテーションのオリエンテーション</t>
        </is>
      </c>
      <c r="L210" s="3" t="inlineStr">
        <is>
          <t>全症例の25％〜49％程度</t>
        </is>
      </c>
      <c r="N210" s="3" t="inlineStr">
        <is>
          <t>全症例の0％〜24％程度</t>
        </is>
      </c>
      <c r="P210" s="3" t="inlineStr">
        <is>
          <t>全症例の0％〜24％程度</t>
        </is>
      </c>
      <c r="R210" s="3" t="inlineStr">
        <is>
          <t>全症例の0％〜24％程度</t>
        </is>
      </c>
      <c r="T210" s="3" t="inlineStr">
        <is>
          <t>膝伸展筋力, 歩行速度</t>
        </is>
      </c>
      <c r="V210" s="3" t="inlineStr">
        <is>
          <t>握力</t>
        </is>
      </c>
      <c r="X210" s="3" t="inlineStr">
        <is>
          <t>実施していない</t>
        </is>
      </c>
      <c r="Y210" s="3" t="inlineStr">
        <is>
          <t>ロコモ評価にまで手が回せていない</t>
        </is>
      </c>
      <c r="Z210" s="3" t="inlineStr">
        <is>
          <t>Barthel Index（BI）</t>
        </is>
      </c>
      <c r="AB210" s="3" t="inlineStr">
        <is>
          <t>HDS-R</t>
        </is>
      </c>
      <c r="AD210" s="3" t="inlineStr">
        <is>
          <t>実施していない</t>
        </is>
      </c>
      <c r="AE210" s="3" t="inlineStr">
        <is>
          <t>明確なFLS活動がない</t>
        </is>
      </c>
      <c r="AI210" s="3" t="inlineStr">
        <is>
          <t>実施していない</t>
        </is>
      </c>
      <c r="AJ210" s="3" t="inlineStr">
        <is>
          <t>明確なFLS活動がない</t>
        </is>
      </c>
    </row>
    <row r="211" ht="22.5" customHeight="1">
      <c r="A211" s="32" t="n">
        <v>46104.69106232639</v>
      </c>
      <c r="B211" s="3" t="inlineStr">
        <is>
          <t>髙橋佑香</t>
        </is>
      </c>
      <c r="C211" s="3" t="inlineStr">
        <is>
          <t>聖隷沼津病院</t>
        </is>
      </c>
      <c r="D211" s="3" t="inlineStr">
        <is>
          <t>静岡県</t>
        </is>
      </c>
      <c r="E211" s="3" t="inlineStr">
        <is>
          <t>sakute@me.com</t>
        </is>
      </c>
      <c r="F211" s="3" t="inlineStr">
        <is>
          <t>リハビリテーション課/理学療法士</t>
        </is>
      </c>
      <c r="G211" s="3" t="n">
        <v>154</v>
      </c>
      <c r="H211" s="3" t="n">
        <v>11</v>
      </c>
      <c r="I211" s="3" t="n">
        <v>0</v>
      </c>
      <c r="J211" s="3" t="inlineStr">
        <is>
          <t>届け出をしておらず、検討もしていない</t>
        </is>
      </c>
      <c r="K211" s="3" t="inlineStr">
        <is>
          <t>関節可動域運動, 筋力増強運動, DVT予防, リラクセーション, ポジショニング</t>
        </is>
      </c>
      <c r="L211" s="3" t="inlineStr">
        <is>
          <t>全症例の0％〜24％程度</t>
        </is>
      </c>
      <c r="N211" s="3" t="inlineStr">
        <is>
          <t>全症例の0％〜24％程度</t>
        </is>
      </c>
      <c r="P211" s="3" t="inlineStr">
        <is>
          <t>全症例の0％〜24％程度</t>
        </is>
      </c>
      <c r="R211" s="3" t="inlineStr">
        <is>
          <t>全症例の0％〜24％程度</t>
        </is>
      </c>
      <c r="T211" s="3" t="inlineStr">
        <is>
          <t>握力, TUG, 開眼片脚立位時間</t>
        </is>
      </c>
      <c r="V211" s="3" t="inlineStr">
        <is>
          <t>TUG, 認知機能, 握力</t>
        </is>
      </c>
      <c r="X211" s="3" t="inlineStr">
        <is>
          <t>立ち上がりテスト, 2ステップテスト, ロコモ25（質問票）</t>
        </is>
      </c>
      <c r="Z211" s="3" t="inlineStr">
        <is>
          <t>FIM</t>
        </is>
      </c>
      <c r="AB211" s="3" t="inlineStr">
        <is>
          <t>HDS-R, AMTS</t>
        </is>
      </c>
      <c r="AD211" s="3" t="inlineStr">
        <is>
          <t>TUG, 認知機能, 転倒恐怖感, 過去の転倒歴, 既往疾患の有無（脳血管疾患、パーキンソン病など）, 薬剤（向精神薬、降圧薬、利尿薬、ポリファーマシーなど）, ベッド周囲および病室環境</t>
        </is>
      </c>
      <c r="AF211" s="3" t="inlineStr">
        <is>
          <t>決まっている</t>
        </is>
      </c>
      <c r="AG211" s="3" t="inlineStr">
        <is>
          <t>HDS-R、AMTSは手術前に極力評価する。困難な場合は、手術後1週間以内に実施する。</t>
        </is>
      </c>
      <c r="AI211" s="3" t="inlineStr">
        <is>
          <t>下肢筋力強化, バランス練習, 歩行練習, 歩容改善, 起立、着座動作練習, 補助具、装具の適正化, 教育、指導</t>
        </is>
      </c>
    </row>
    <row r="212" ht="22.5" customHeight="1">
      <c r="A212" s="32" t="n">
        <v>46104.69978277778</v>
      </c>
      <c r="B212" s="3" t="inlineStr">
        <is>
          <t>渕澤慎也</t>
        </is>
      </c>
      <c r="C212" s="3" t="inlineStr">
        <is>
          <t>福島赤十字病院</t>
        </is>
      </c>
      <c r="D212" s="3" t="inlineStr">
        <is>
          <t>福島県</t>
        </is>
      </c>
      <c r="E212" s="3" t="inlineStr">
        <is>
          <t>nisseki-reha@fukushima-med-jrc.jp</t>
        </is>
      </c>
      <c r="G212" s="3" t="n">
        <v>73</v>
      </c>
      <c r="H212" s="3" t="n">
        <v>6</v>
      </c>
      <c r="I212" s="3" t="n">
        <v>5</v>
      </c>
      <c r="J212" s="3" t="inlineStr">
        <is>
          <t>届け出をしておらず、検討もしていない</t>
        </is>
      </c>
      <c r="K212" s="3" t="inlineStr">
        <is>
          <t>関節可動域運動, 筋力増強運動, 自主運動指導, 術後リハビリテーションのオリエンテーション, 離床（例：車椅子移乗,立位,歩行など）</t>
        </is>
      </c>
      <c r="L212" s="3" t="inlineStr">
        <is>
          <t>全症例の25％〜49％程度</t>
        </is>
      </c>
      <c r="N212" s="3" t="inlineStr">
        <is>
          <t>全症例の0％〜24％程度</t>
        </is>
      </c>
      <c r="P212" s="3" t="inlineStr">
        <is>
          <t>全症例の0％〜24％程度</t>
        </is>
      </c>
      <c r="R212" s="3" t="inlineStr">
        <is>
          <t>全症例の0％〜24％程度</t>
        </is>
      </c>
      <c r="T212" s="3" t="inlineStr">
        <is>
          <t>握力, 5回椅子立ち上がりテスト, SPPB</t>
        </is>
      </c>
      <c r="V212" s="3" t="inlineStr">
        <is>
          <t>握力</t>
        </is>
      </c>
      <c r="X212" s="3" t="inlineStr">
        <is>
          <t>実施していない</t>
        </is>
      </c>
      <c r="Y212" s="3" t="inlineStr">
        <is>
          <t>ロコモティブシンドロームに関しては評価バッテリーを使用していない。</t>
        </is>
      </c>
      <c r="Z212" s="3" t="inlineStr">
        <is>
          <t>Barthel Index（BI）</t>
        </is>
      </c>
      <c r="AB212" s="3" t="inlineStr">
        <is>
          <t>MMSE, HDS-R, AMTS</t>
        </is>
      </c>
      <c r="AD212" s="3" t="inlineStr">
        <is>
          <t>認知機能</t>
        </is>
      </c>
      <c r="AF212" s="3" t="inlineStr">
        <is>
          <t>決まっていない</t>
        </is>
      </c>
      <c r="AH212" s="3" t="inlineStr">
        <is>
          <t>設定していませんでした。</t>
        </is>
      </c>
      <c r="AI212" s="3" t="inlineStr">
        <is>
          <t>下肢筋力強化, バランス練習, 歩行練習, 起立、着座動作練習, 補助具、装具の適正化</t>
        </is>
      </c>
    </row>
    <row r="213" ht="22.5" customHeight="1">
      <c r="A213" s="32" t="n">
        <v>46104.71062152777</v>
      </c>
      <c r="B213" s="3" t="inlineStr">
        <is>
          <t>理学療法士</t>
        </is>
      </c>
      <c r="C213" s="3" t="inlineStr">
        <is>
          <t>長崎県壱岐病院</t>
        </is>
      </c>
      <c r="D213" s="3" t="inlineStr">
        <is>
          <t>長崎県</t>
        </is>
      </c>
      <c r="E213" s="3" t="inlineStr">
        <is>
          <t>n-tashima@ikihp.jp</t>
        </is>
      </c>
      <c r="F213" s="3" t="inlineStr">
        <is>
          <t>リハビリテーション科／理学療法士</t>
        </is>
      </c>
      <c r="G213" s="3" t="n">
        <v>62</v>
      </c>
      <c r="H213" s="3" t="n">
        <v>5</v>
      </c>
      <c r="I213" s="3" t="n">
        <v>4</v>
      </c>
      <c r="J213" s="3" t="inlineStr">
        <is>
          <t>届け出をしておらず、検討もしていない</t>
        </is>
      </c>
      <c r="K213" s="3" t="inlineStr">
        <is>
          <t>関節可動域運動, 筋力増強運動, 呼吸リハビリテーション, リラクセーション, 術後リハビリテーションのオリエンテーション, 離床（例：車椅子移乗,立位,歩行など）</t>
        </is>
      </c>
      <c r="L213" s="3" t="inlineStr">
        <is>
          <t>全症例の50％〜74％程度</t>
        </is>
      </c>
      <c r="M213" s="3" t="inlineStr">
        <is>
          <t>内服による疼痛コントロール　アイシング　ポジショニング</t>
        </is>
      </c>
      <c r="N213" s="3" t="inlineStr">
        <is>
          <t>全症例の25％〜49％程度</t>
        </is>
      </c>
      <c r="P213" s="3" t="inlineStr">
        <is>
          <t>全症例の25％〜49％程度</t>
        </is>
      </c>
      <c r="R213" s="3" t="inlineStr">
        <is>
          <t>全症例の0％〜24％程度</t>
        </is>
      </c>
      <c r="T213" s="3" t="inlineStr">
        <is>
          <t>握力, 5回椅子立ち上がりテスト, TUG, 開眼片脚立位時間</t>
        </is>
      </c>
      <c r="V213" s="3" t="inlineStr">
        <is>
          <t>TUG, 握力</t>
        </is>
      </c>
      <c r="X213" s="3" t="inlineStr">
        <is>
          <t>立ち上がりテスト</t>
        </is>
      </c>
      <c r="Z213" s="3" t="inlineStr">
        <is>
          <t>Barthel Index（BI）</t>
        </is>
      </c>
      <c r="AB213" s="3" t="inlineStr">
        <is>
          <t>HDS-R</t>
        </is>
      </c>
      <c r="AD213" s="3" t="inlineStr">
        <is>
          <t>認知機能, せん妄, 過去の転倒歴, 薬剤（向精神薬、降圧薬、利尿薬、ポリファーマシーなど）</t>
        </is>
      </c>
      <c r="AF213" s="3" t="inlineStr">
        <is>
          <t>決まっている</t>
        </is>
      </c>
      <c r="AG213" s="3" t="inlineStr">
        <is>
          <t>初日に行い、１週間ずつで再評価</t>
        </is>
      </c>
      <c r="AI213" s="3" t="inlineStr">
        <is>
          <t>下肢筋力強化, バランス練習, 歩行練習, 歩容改善, 起立、着座動作練習, 環境調整, 補助具、装具の適正化, 認知面への介入, 行動面への介入, 教育、指導</t>
        </is>
      </c>
    </row>
    <row r="214" ht="22.5" customHeight="1">
      <c r="A214" s="32" t="n">
        <v>46104.71309839121</v>
      </c>
      <c r="B214" s="3" t="inlineStr">
        <is>
          <t>室谷　匡紀</t>
        </is>
      </c>
      <c r="C214" s="3" t="inlineStr">
        <is>
          <t>松戸市立総合医療センター</t>
        </is>
      </c>
      <c r="D214" s="3" t="inlineStr">
        <is>
          <t>千葉県</t>
        </is>
      </c>
      <c r="E214" s="3" t="inlineStr">
        <is>
          <t>reha@matsudo-hp.jp</t>
        </is>
      </c>
      <c r="F214" s="3" t="inlineStr">
        <is>
          <t>リハビリテーション科／理学療法士</t>
        </is>
      </c>
      <c r="G214" s="3" t="n">
        <v>57</v>
      </c>
      <c r="H214" s="3" t="n">
        <v>27</v>
      </c>
      <c r="I214" s="3" t="n">
        <v>0</v>
      </c>
      <c r="J214" s="3" t="inlineStr">
        <is>
          <t>届け出をしておらず、検討もしていない</t>
        </is>
      </c>
      <c r="K214" s="3" t="inlineStr">
        <is>
          <t>関節可動域運動, 筋力増強運動, ポジショニング, 自主運動指導, 離床（例：車椅子移乗,立位,歩行など）</t>
        </is>
      </c>
      <c r="L214" s="3" t="inlineStr">
        <is>
          <t>全症例の75％〜100％程度</t>
        </is>
      </c>
      <c r="M214" s="3" t="inlineStr">
        <is>
          <t>パスに準じているため</t>
        </is>
      </c>
      <c r="N214" s="3" t="inlineStr">
        <is>
          <t>全症例の0％〜24％程度</t>
        </is>
      </c>
      <c r="P214" s="3" t="inlineStr">
        <is>
          <t>全症例の0％〜24％程度</t>
        </is>
      </c>
      <c r="R214" s="3" t="inlineStr">
        <is>
          <t>全症例の0％〜24％程度</t>
        </is>
      </c>
      <c r="T214" s="3" t="inlineStr">
        <is>
          <t>握力, SPPB, 開眼片脚立位時間</t>
        </is>
      </c>
      <c r="V214" s="3" t="inlineStr">
        <is>
          <t>認知機能, 握力</t>
        </is>
      </c>
      <c r="X214" s="3" t="inlineStr">
        <is>
          <t>実施していない</t>
        </is>
      </c>
      <c r="Y214" s="3" t="inlineStr">
        <is>
          <t>疼痛の影響が強い。転院が早い。</t>
        </is>
      </c>
      <c r="Z214" s="3" t="inlineStr">
        <is>
          <t>Barthel Index（BI）</t>
        </is>
      </c>
      <c r="AB214" s="3" t="inlineStr">
        <is>
          <t>初期認知症徴候観察リスト</t>
        </is>
      </c>
      <c r="AD214" s="3" t="inlineStr">
        <is>
          <t>SPPB、Functional Reach Test（FRT）, 認知機能</t>
        </is>
      </c>
      <c r="AF214" s="3" t="inlineStr">
        <is>
          <t>決まっていない</t>
        </is>
      </c>
      <c r="AH214" s="3" t="inlineStr">
        <is>
          <t>痛みなどの全身状態によるため</t>
        </is>
      </c>
      <c r="AI214" s="3" t="inlineStr">
        <is>
          <t>下肢筋力強化, バランス練習, 歩行練習, 歩容改善, 起立、着座動作練習, 環境調整, 補助具、装具の適正化, 認知面への介入, 教育、指導</t>
        </is>
      </c>
    </row>
    <row r="215" ht="22.5" customHeight="1">
      <c r="A215" s="32" t="n">
        <v>46104.7147812037</v>
      </c>
      <c r="B215" s="3" t="inlineStr">
        <is>
          <t>作業療法士</t>
        </is>
      </c>
      <c r="C215" s="3" t="inlineStr">
        <is>
          <t>熊本整形外科病院</t>
        </is>
      </c>
      <c r="D215" s="3" t="inlineStr">
        <is>
          <t>熊本県</t>
        </is>
      </c>
      <c r="E215" s="3" t="inlineStr">
        <is>
          <t>kumasei-ot@kumasei.jp</t>
        </is>
      </c>
      <c r="F215" s="3" t="inlineStr">
        <is>
          <t>運動器リハビリテーション科/作業療法士</t>
        </is>
      </c>
      <c r="G215" s="3" t="n">
        <v>183</v>
      </c>
      <c r="H215" s="3" t="n">
        <v>23</v>
      </c>
      <c r="I215" s="3" t="n">
        <v>5</v>
      </c>
      <c r="J215" s="3" t="inlineStr">
        <is>
          <t>届け出をしておらず、検討もしていない</t>
        </is>
      </c>
      <c r="K215" s="3" t="inlineStr">
        <is>
          <t>関節可動域運動, 筋力増強運動, DVT予防, リラクセーション, ポジショニング, 自主運動指導, 術後リハビリテーションのオリエンテーション, 離床（例：車椅子移乗,立位,歩行など）</t>
        </is>
      </c>
      <c r="L215" s="3" t="inlineStr">
        <is>
          <t>全症例の50％〜74％程度</t>
        </is>
      </c>
      <c r="M215" s="3" t="inlineStr">
        <is>
          <t>鎮痛コントロール、介助者（補助者）を増やしての対応</t>
        </is>
      </c>
      <c r="N215" s="3" t="inlineStr">
        <is>
          <t>全症例の25％〜49％程度</t>
        </is>
      </c>
      <c r="P215" s="3" t="inlineStr">
        <is>
          <t>全症例の0％〜24％程度</t>
        </is>
      </c>
      <c r="R215" s="3" t="inlineStr">
        <is>
          <t>全症例の0％〜24％程度</t>
        </is>
      </c>
      <c r="T215" s="3" t="inlineStr">
        <is>
          <t>実施していない</t>
        </is>
      </c>
      <c r="U215" s="3" t="inlineStr">
        <is>
          <t>急性期評価主体のため</t>
        </is>
      </c>
      <c r="V215" s="3" t="inlineStr">
        <is>
          <t>実施していない</t>
        </is>
      </c>
      <c r="W215" s="3" t="inlineStr">
        <is>
          <t>急性期評価主体のため</t>
        </is>
      </c>
      <c r="X215" s="3" t="inlineStr">
        <is>
          <t>実施していない</t>
        </is>
      </c>
      <c r="Y215" s="3" t="inlineStr">
        <is>
          <t>急性期評価主体のため</t>
        </is>
      </c>
      <c r="Z215" s="3" t="inlineStr">
        <is>
          <t>Barthel Index（BI）, FIM</t>
        </is>
      </c>
      <c r="AB215" s="3" t="inlineStr">
        <is>
          <t>実施していない</t>
        </is>
      </c>
      <c r="AC215" s="3" t="inlineStr">
        <is>
          <t>簡易的な評価を実施　文書での管理は未実施</t>
        </is>
      </c>
      <c r="AD215" s="3" t="inlineStr">
        <is>
          <t>定量的な下肢筋力測定, 開眼片脚立位時間</t>
        </is>
      </c>
      <c r="AF215" s="3" t="inlineStr">
        <is>
          <t>決まっている</t>
        </is>
      </c>
      <c r="AG215" s="3" t="inlineStr">
        <is>
          <t>術後10～14日</t>
        </is>
      </c>
      <c r="AI215" s="3" t="inlineStr">
        <is>
          <t>下肢筋力強化, バランス練習, 歩行練習, 歩容改善, 起立、着座動作練習, 環境調整, 教育、指導</t>
        </is>
      </c>
    </row>
    <row r="216" ht="22.5" customHeight="1">
      <c r="A216" s="32" t="n">
        <v>46104.73129451389</v>
      </c>
      <c r="B216" s="3" t="inlineStr">
        <is>
          <t>南波晃</t>
        </is>
      </c>
      <c r="C216" s="3" t="inlineStr">
        <is>
          <t>秋田赤十字病院</t>
        </is>
      </c>
      <c r="D216" s="3" t="inlineStr">
        <is>
          <t>秋田県</t>
        </is>
      </c>
      <c r="E216" s="3" t="inlineStr">
        <is>
          <t>akira_nanba@akita-med.jrc.or.jp</t>
        </is>
      </c>
      <c r="F216" s="3" t="inlineStr">
        <is>
          <t>リハビリテーション科/理学療法士</t>
        </is>
      </c>
      <c r="G216" s="3" t="n">
        <v>128</v>
      </c>
      <c r="H216" s="3" t="n">
        <v>12</v>
      </c>
      <c r="I216" s="3" t="n">
        <v>4</v>
      </c>
      <c r="J216" s="3" t="inlineStr">
        <is>
          <t>届け出はしていないが、現在検討中である</t>
        </is>
      </c>
      <c r="K216" s="3" t="inlineStr">
        <is>
          <t>関節可動域運動, 筋力増強運動, 呼吸リハビリテーション, DVT予防, ポジショニング, 自主運動指導, 術後リハビリテーションのオリエンテーション</t>
        </is>
      </c>
      <c r="L216" s="3" t="inlineStr">
        <is>
          <t>全症例の25％〜49％程度</t>
        </is>
      </c>
      <c r="N216" s="3" t="inlineStr">
        <is>
          <t>全症例の0％〜24％程度</t>
        </is>
      </c>
      <c r="P216" s="3" t="inlineStr">
        <is>
          <t>全症例の0％〜24％程度</t>
        </is>
      </c>
      <c r="R216" s="3" t="inlineStr">
        <is>
          <t>全症例の0％〜24％程度</t>
        </is>
      </c>
      <c r="T216" s="3" t="inlineStr">
        <is>
          <t>握力, 下腿周径</t>
        </is>
      </c>
      <c r="V216" s="3" t="inlineStr">
        <is>
          <t>認知機能, 握力</t>
        </is>
      </c>
      <c r="X216" s="3" t="inlineStr">
        <is>
          <t>実施していない</t>
        </is>
      </c>
      <c r="Y216" s="3" t="inlineStr">
        <is>
          <t>科内でのコアアウトカムセットとして定めていないため。</t>
        </is>
      </c>
      <c r="Z216" s="3" t="inlineStr">
        <is>
          <t>Barthel Index（BI）</t>
        </is>
      </c>
      <c r="AB216" s="3" t="inlineStr">
        <is>
          <t>AMTS</t>
        </is>
      </c>
      <c r="AD216" s="3" t="inlineStr">
        <is>
          <t>認知機能, 転倒恐怖感, 既往疾患の有無（脳血管疾患、パーキンソン病など）, 薬剤（向精神薬、降圧薬、利尿薬、ポリファーマシーなど）, ベッド周囲および病室環境</t>
        </is>
      </c>
      <c r="AF216" s="3" t="inlineStr">
        <is>
          <t>決まっていない</t>
        </is>
      </c>
      <c r="AH216" s="3" t="inlineStr">
        <is>
          <t>患者の状態によって評価の可否が異なるため(せん妄の有無等)、各療法士の判断に委ねているため。</t>
        </is>
      </c>
      <c r="AI216" s="3" t="inlineStr">
        <is>
          <t>下肢筋力強化, バランス練習, 歩行練習, 歩容改善, 起立、着座動作練習, 環境調整, 補助具、装具の適正化, 行動面への介入, 教育、指導</t>
        </is>
      </c>
    </row>
    <row r="217" ht="22.5" customHeight="1">
      <c r="A217" s="32" t="n">
        <v>46104.7393587037</v>
      </c>
      <c r="B217" s="3" t="inlineStr">
        <is>
          <t>吉見　晃</t>
        </is>
      </c>
      <c r="C217" s="3" t="inlineStr">
        <is>
          <t>長崎県病院企業団　長崎県対馬病院</t>
        </is>
      </c>
      <c r="D217" s="3" t="inlineStr">
        <is>
          <t>長崎県</t>
        </is>
      </c>
      <c r="E217" s="3" t="inlineStr">
        <is>
          <t>0530hikaru1003@gmail.com</t>
        </is>
      </c>
      <c r="F217" s="3" t="inlineStr">
        <is>
          <t>リハビリテーション科／理学療法士</t>
        </is>
      </c>
      <c r="G217" s="3" t="n">
        <v>32</v>
      </c>
      <c r="H217" s="3" t="n">
        <v>32</v>
      </c>
      <c r="I217" s="3" t="n">
        <v>0</v>
      </c>
      <c r="J217" s="3" t="inlineStr">
        <is>
          <t>届け出をしておらず、検討もしていない</t>
        </is>
      </c>
      <c r="K217" s="3" t="inlineStr">
        <is>
          <t>実施していない</t>
        </is>
      </c>
      <c r="L217" s="3" t="inlineStr">
        <is>
          <t>全症例の0％〜24％程度</t>
        </is>
      </c>
      <c r="N217" s="3" t="inlineStr">
        <is>
          <t>全症例の0％〜24％程度</t>
        </is>
      </c>
      <c r="P217" s="3" t="inlineStr">
        <is>
          <t>全症例の0％〜24％程度</t>
        </is>
      </c>
      <c r="R217" s="3" t="inlineStr">
        <is>
          <t>全症例の0％〜24％程度</t>
        </is>
      </c>
      <c r="T217" s="3" t="inlineStr">
        <is>
          <t>実施していない</t>
        </is>
      </c>
      <c r="U217" s="3" t="inlineStr">
        <is>
          <t>時間的余裕がない</t>
        </is>
      </c>
      <c r="V217" s="3" t="inlineStr">
        <is>
          <t>実施していない</t>
        </is>
      </c>
      <c r="W217" s="3" t="inlineStr">
        <is>
          <t>時間的余裕がない</t>
        </is>
      </c>
      <c r="X217" s="3" t="inlineStr">
        <is>
          <t>実施していない</t>
        </is>
      </c>
      <c r="Y217" s="3" t="inlineStr">
        <is>
          <t>時間的余裕がない</t>
        </is>
      </c>
      <c r="Z217" s="3" t="inlineStr">
        <is>
          <t>Barthel Index（BI）</t>
        </is>
      </c>
      <c r="AB217" s="3" t="inlineStr">
        <is>
          <t>MMSE, HDS-R</t>
        </is>
      </c>
      <c r="AD217" s="3" t="inlineStr">
        <is>
          <t>過去の転倒歴, ベッド周囲および病室環境</t>
        </is>
      </c>
      <c r="AF217" s="3" t="inlineStr">
        <is>
          <t>決まっていない</t>
        </is>
      </c>
      <c r="AH217" s="3" t="inlineStr">
        <is>
          <t xml:space="preserve">FLS活動の一環ではなく、院内での医療安全委員会（リハ技師長を含む）が週1回で実施しております。
</t>
        </is>
      </c>
      <c r="AI217" s="3" t="inlineStr">
        <is>
          <t>下肢筋力強化, バランス練習, 歩行練習, 歩容改善, 起立、着座動作練習, 環境調整, 補助具、装具の適正化, 認知面への介入, 教育、指導</t>
        </is>
      </c>
    </row>
    <row r="218" ht="22.5" customHeight="1">
      <c r="A218" s="32" t="n">
        <v>46104.7476996875</v>
      </c>
      <c r="B218" s="3" t="inlineStr">
        <is>
          <t>作間　直美</t>
        </is>
      </c>
      <c r="C218" s="3" t="inlineStr">
        <is>
          <t>県北医療センター　高萩協同病院</t>
        </is>
      </c>
      <c r="D218" s="3" t="inlineStr">
        <is>
          <t>茨城県</t>
        </is>
      </c>
      <c r="E218" s="3" t="inlineStr">
        <is>
          <t>takahagikyoudouriha@gmail.com</t>
        </is>
      </c>
      <c r="F218" s="3" t="inlineStr">
        <is>
          <t xml:space="preserve">リハビリテーション部　作業療法士　</t>
        </is>
      </c>
      <c r="G218" s="3" t="n">
        <v>138</v>
      </c>
      <c r="H218" s="3" t="n">
        <v>7</v>
      </c>
      <c r="I218" s="3" t="n">
        <v>4</v>
      </c>
      <c r="J218" s="3" t="inlineStr">
        <is>
          <t>届け出をしておらず、検討もしていない</t>
        </is>
      </c>
      <c r="K218" s="3" t="inlineStr">
        <is>
          <t>関節可動域運動, 筋力増強運動, リラクセーション, ポジショニング, 自主運動指導, 離床（例：車椅子移乗,立位,歩行など）</t>
        </is>
      </c>
      <c r="L218" s="3" t="inlineStr">
        <is>
          <t>全症例の25％〜49％程度</t>
        </is>
      </c>
      <c r="N218" s="3" t="inlineStr">
        <is>
          <t>全症例の50％〜74％程度</t>
        </is>
      </c>
      <c r="O218" s="3" t="inlineStr">
        <is>
          <t>介助量を多めにし安全に離床を促していく</t>
        </is>
      </c>
      <c r="P218" s="3" t="inlineStr">
        <is>
          <t>全症例の25％〜49％程度</t>
        </is>
      </c>
      <c r="R218" s="3" t="inlineStr">
        <is>
          <t>全症例の0％〜24％程度</t>
        </is>
      </c>
      <c r="T218" s="3" t="inlineStr">
        <is>
          <t>握力, 5回椅子立ち上がりテスト, 歩行速度, SPPB, 下腿周径</t>
        </is>
      </c>
      <c r="V218" s="3" t="inlineStr">
        <is>
          <t>握力, SPPB</t>
        </is>
      </c>
      <c r="X218" s="3" t="inlineStr">
        <is>
          <t>立ち上がりテスト, 2ステップテスト</t>
        </is>
      </c>
      <c r="Z218" s="3" t="inlineStr">
        <is>
          <t>Barthel Index（BI）</t>
        </is>
      </c>
      <c r="AB218" s="3" t="inlineStr">
        <is>
          <t>HDS-R</t>
        </is>
      </c>
      <c r="AD218" s="3" t="inlineStr">
        <is>
          <t>実施していない</t>
        </is>
      </c>
      <c r="AE218" s="3" t="inlineStr">
        <is>
          <t>術後は定期検査としては指定していない、各自評価による</t>
        </is>
      </c>
      <c r="AI218" s="3" t="inlineStr">
        <is>
          <t>下肢筋力強化, バランス練習, 歩行練習, 歩容改善, 起立、着座動作練習, 環境調整, 補助具、装具の適正化, 教育、指導</t>
        </is>
      </c>
    </row>
    <row r="219" ht="22.5" customHeight="1">
      <c r="A219" s="32" t="n">
        <v>46104.78061121528</v>
      </c>
      <c r="B219" s="3" t="inlineStr">
        <is>
          <t>森末　孝昭</t>
        </is>
      </c>
      <c r="C219" s="3" t="inlineStr">
        <is>
          <t>市立三次中央病院</t>
        </is>
      </c>
      <c r="D219" s="3" t="inlineStr">
        <is>
          <t>広島県</t>
        </is>
      </c>
      <c r="E219" s="3" t="inlineStr">
        <is>
          <t>t.morisue0603@city.miyoshi.hiroshima.jp</t>
        </is>
      </c>
      <c r="F219" s="3" t="inlineStr">
        <is>
          <t>診療技術部リハビリテーション科／理学療法士</t>
        </is>
      </c>
      <c r="G219" s="3" t="n">
        <v>135</v>
      </c>
      <c r="H219" s="3" t="n">
        <v>4</v>
      </c>
      <c r="I219" s="3" t="n">
        <v>0</v>
      </c>
      <c r="J219" s="3" t="inlineStr">
        <is>
          <t>届け出はしていないが、現在検討中である</t>
        </is>
      </c>
      <c r="K219" s="3" t="inlineStr">
        <is>
          <t>実施していない</t>
        </is>
      </c>
      <c r="L219" s="3" t="inlineStr">
        <is>
          <t>全症例の25％〜49％程度</t>
        </is>
      </c>
      <c r="N219" s="3" t="inlineStr">
        <is>
          <t>全症例の0％〜24％程度</t>
        </is>
      </c>
      <c r="P219" s="3" t="inlineStr">
        <is>
          <t>全症例の25％〜49％程度</t>
        </is>
      </c>
      <c r="R219" s="3" t="inlineStr">
        <is>
          <t>全症例の0％〜24％程度</t>
        </is>
      </c>
      <c r="T219" s="3" t="inlineStr">
        <is>
          <t>膝伸展筋力, 歩行速度, SPPB, 開眼片脚立位時間</t>
        </is>
      </c>
      <c r="V219" s="3" t="inlineStr">
        <is>
          <t>認知機能</t>
        </is>
      </c>
      <c r="X219" s="3" t="inlineStr">
        <is>
          <t>実施していない</t>
        </is>
      </c>
      <c r="Z219" s="3" t="inlineStr">
        <is>
          <t>FIM</t>
        </is>
      </c>
      <c r="AB219" s="3" t="inlineStr">
        <is>
          <t>HDS-R</t>
        </is>
      </c>
      <c r="AD219" s="3" t="inlineStr">
        <is>
          <t>10m歩行速度, SPPB、Functional Reach Test（FRT）, 5回椅子立ち上がりテスト, 認知機能</t>
        </is>
      </c>
      <c r="AF219" s="3" t="inlineStr">
        <is>
          <t>決まっていない</t>
        </is>
      </c>
      <c r="AI219" s="3" t="inlineStr">
        <is>
          <t>下肢筋力強化, バランス練習, 歩行練習, 歩容改善, 起立、着座動作練習, 環境調整, 補助具、装具の適正化, 認知面への介入, 行動面への介入, 薬剤調整, 教育、指導</t>
        </is>
      </c>
    </row>
    <row r="220" ht="22.5" customHeight="1">
      <c r="A220" s="32" t="n">
        <v>46104.79270173611</v>
      </c>
      <c r="B220" s="3" t="inlineStr">
        <is>
          <t>野口裕貴</t>
        </is>
      </c>
      <c r="C220" s="3" t="inlineStr">
        <is>
          <t>製鉄記念八幡病院</t>
        </is>
      </c>
      <c r="D220" s="3" t="inlineStr">
        <is>
          <t>福岡県</t>
        </is>
      </c>
      <c r="E220" s="3" t="inlineStr">
        <is>
          <t>noguchi.h@ns.yawata-mhp.or.jp</t>
        </is>
      </c>
      <c r="F220" s="3" t="inlineStr">
        <is>
          <t>リハビリテーション部／理学療法士</t>
        </is>
      </c>
      <c r="G220" s="3" t="n">
        <v>136</v>
      </c>
      <c r="H220" s="3" t="n">
        <v>16</v>
      </c>
      <c r="I220" s="3" t="n">
        <v>10</v>
      </c>
      <c r="J220" s="3" t="inlineStr">
        <is>
          <t>届け出をしておらず、検討もしていない</t>
        </is>
      </c>
      <c r="K220" s="3" t="inlineStr">
        <is>
          <t>関節可動域運動, 筋力増強運動, 呼吸リハビリテーション, DVT予防</t>
        </is>
      </c>
      <c r="L220" s="3" t="inlineStr">
        <is>
          <t>全症例の75％〜100％程度</t>
        </is>
      </c>
      <c r="M220" s="3" t="inlineStr">
        <is>
          <t>補助鎮痛薬使用、TENS使用、部分免荷歩行器使用</t>
        </is>
      </c>
      <c r="N220" s="3" t="inlineStr">
        <is>
          <t>全症例の25％〜49％程度</t>
        </is>
      </c>
      <c r="P220" s="3" t="inlineStr">
        <is>
          <t>全症例の25％〜49％程度</t>
        </is>
      </c>
      <c r="R220" s="3" t="inlineStr">
        <is>
          <t>全症例の0％〜24％程度</t>
        </is>
      </c>
      <c r="T220" s="3" t="inlineStr">
        <is>
          <t>5回椅子立ち上がりテスト, 歩行速度, SPPB</t>
        </is>
      </c>
      <c r="V220" s="3" t="inlineStr">
        <is>
          <t>認知機能</t>
        </is>
      </c>
      <c r="X220" s="3" t="inlineStr">
        <is>
          <t>実施していない</t>
        </is>
      </c>
      <c r="Y220" s="3" t="inlineStr">
        <is>
          <t>急性期で実施困難なことが多いため</t>
        </is>
      </c>
      <c r="Z220" s="3" t="inlineStr">
        <is>
          <t>Barthel Index（BI）, FIM</t>
        </is>
      </c>
      <c r="AB220" s="3" t="inlineStr">
        <is>
          <t>HDS-R, AMTS</t>
        </is>
      </c>
      <c r="AD220" s="3" t="inlineStr">
        <is>
          <t>TUG, SPPB、Functional Reach Test（FRT）, 5回椅子立ち上がりテスト, 認知機能</t>
        </is>
      </c>
      <c r="AF220" s="3" t="inlineStr">
        <is>
          <t>決まっている</t>
        </is>
      </c>
      <c r="AG220" s="3" t="inlineStr">
        <is>
          <t>急性期退院時</t>
        </is>
      </c>
      <c r="AI220" s="3" t="inlineStr">
        <is>
          <t>下肢筋力強化, バランス練習, 歩行練習, 歩容改善, 起立、着座動作練習, 環境調整, 補助具、装具の適正化, 認知面への介入, 行動面への介入</t>
        </is>
      </c>
    </row>
    <row r="221" ht="22.5" customHeight="1">
      <c r="A221" s="32" t="n">
        <v>46104.79428035879</v>
      </c>
      <c r="B221" s="3" t="inlineStr">
        <is>
          <t>棚橋　竜貴</t>
        </is>
      </c>
      <c r="C221" s="3" t="inlineStr">
        <is>
          <t>国家公務員共済組合連合会　東海病院</t>
        </is>
      </c>
      <c r="D221" s="3" t="inlineStr">
        <is>
          <t>愛知県</t>
        </is>
      </c>
      <c r="E221" s="3" t="inlineStr">
        <is>
          <t>reha@toukaihosp.jp</t>
        </is>
      </c>
      <c r="F221" s="3" t="inlineStr">
        <is>
          <t>リハビリテーション科/理学療法士</t>
        </is>
      </c>
      <c r="G221" s="3" t="n">
        <v>60</v>
      </c>
      <c r="H221" s="3" t="n">
        <v>8</v>
      </c>
      <c r="I221" s="3" t="n">
        <v>3</v>
      </c>
      <c r="J221" s="3" t="inlineStr">
        <is>
          <t>届け出はしていないが、現在検討中である</t>
        </is>
      </c>
      <c r="K221" s="3" t="inlineStr">
        <is>
          <t>実施していない</t>
        </is>
      </c>
      <c r="L221" s="3" t="inlineStr">
        <is>
          <t>全症例の0％〜24％程度</t>
        </is>
      </c>
      <c r="N221" s="3" t="inlineStr">
        <is>
          <t>全症例の0％〜24％程度</t>
        </is>
      </c>
      <c r="P221" s="3" t="inlineStr">
        <is>
          <t>全症例の0％〜24％程度</t>
        </is>
      </c>
      <c r="R221" s="3" t="inlineStr">
        <is>
          <t>全症例の0％〜24％程度</t>
        </is>
      </c>
      <c r="T221" s="3" t="inlineStr">
        <is>
          <t>握力, TUG, 開眼片脚立位時間</t>
        </is>
      </c>
      <c r="V221" s="3" t="inlineStr">
        <is>
          <t>TUG, 握力</t>
        </is>
      </c>
      <c r="X221" s="3" t="inlineStr">
        <is>
          <t>実施していない</t>
        </is>
      </c>
      <c r="Z221" s="3" t="inlineStr">
        <is>
          <t>Barthel Index（BI）</t>
        </is>
      </c>
      <c r="AB221" s="3" t="inlineStr">
        <is>
          <t>HDS-R</t>
        </is>
      </c>
      <c r="AD221" s="3" t="inlineStr">
        <is>
          <t>開眼片脚立位時間, TUG, 過去の転倒歴, 既往疾患の有無（脳血管疾患、パーキンソン病など）, ベッド周囲および病室環境</t>
        </is>
      </c>
      <c r="AF221" s="3" t="inlineStr">
        <is>
          <t>決まっていない</t>
        </is>
      </c>
      <c r="AH221" s="3" t="inlineStr">
        <is>
          <t>退院前に評価を実施するが、患者により術後の経過日数が異なるため</t>
        </is>
      </c>
      <c r="AI221" s="3" t="inlineStr">
        <is>
          <t>下肢筋力強化, バランス練習, 歩行練習, 歩容改善, 起立、着座動作練習, 環境調整, 補助具、装具の適正化, 認知面への介入, 行動面への介入, 教育、指導</t>
        </is>
      </c>
    </row>
    <row r="222" ht="22.5" customHeight="1">
      <c r="A222" s="32" t="n">
        <v>46104.81253033565</v>
      </c>
      <c r="B222" s="3" t="inlineStr">
        <is>
          <t>矢島波</t>
        </is>
      </c>
      <c r="C222" s="3" t="inlineStr">
        <is>
          <t>西宮渡辺病院</t>
        </is>
      </c>
      <c r="D222" s="3" t="inlineStr">
        <is>
          <t>兵庫県</t>
        </is>
      </c>
      <c r="E222" s="3" t="inlineStr">
        <is>
          <t>yashinami1031@icloud.com</t>
        </is>
      </c>
      <c r="F222" s="3" t="inlineStr">
        <is>
          <t>リハビリテーション科/理学療法士</t>
        </is>
      </c>
      <c r="G222" s="3" t="n">
        <v>100</v>
      </c>
      <c r="H222" s="3" t="n">
        <v>25</v>
      </c>
      <c r="I222" s="3" t="n">
        <v>5</v>
      </c>
      <c r="J222" s="3" t="inlineStr">
        <is>
          <t>現在、算定している</t>
        </is>
      </c>
      <c r="K222" s="3" t="inlineStr">
        <is>
          <t>関節可動域運動, 筋力増強運動, DVT予防, リラクセーション, ポジショニング, 自主運動指導, 術後リハビリテーションのオリエンテーション</t>
        </is>
      </c>
      <c r="L222" s="3" t="inlineStr">
        <is>
          <t>全症例の25％〜49％程度</t>
        </is>
      </c>
      <c r="N222" s="3" t="inlineStr">
        <is>
          <t>全症例の25％〜49％程度</t>
        </is>
      </c>
      <c r="P222" s="3" t="inlineStr">
        <is>
          <t>全症例の25％〜49％程度</t>
        </is>
      </c>
      <c r="R222" s="3" t="inlineStr">
        <is>
          <t>全症例の0％〜24％程度</t>
        </is>
      </c>
      <c r="T222" s="3" t="inlineStr">
        <is>
          <t>握力, 歩行速度, TUG</t>
        </is>
      </c>
      <c r="V222" s="3" t="inlineStr">
        <is>
          <t>TUG, 握力</t>
        </is>
      </c>
      <c r="X222" s="3" t="inlineStr">
        <is>
          <t>実施していない</t>
        </is>
      </c>
      <c r="Y222" s="3" t="inlineStr">
        <is>
          <t>他の評価で転倒リスクを評価している</t>
        </is>
      </c>
      <c r="Z222" s="3" t="inlineStr">
        <is>
          <t>Barthel Index（BI）, FIM</t>
        </is>
      </c>
      <c r="AB222" s="3" t="inlineStr">
        <is>
          <t>MMSE, HDS-R</t>
        </is>
      </c>
      <c r="AD222" s="3" t="inlineStr">
        <is>
          <t>TUG, 10m歩行速度, ベッド周囲および病室環境</t>
        </is>
      </c>
      <c r="AF222" s="3" t="inlineStr">
        <is>
          <t>決まっていない</t>
        </is>
      </c>
      <c r="AH222" s="3" t="inlineStr">
        <is>
          <t>評価をとれる時期が人によって異なるため</t>
        </is>
      </c>
      <c r="AI222" s="3" t="inlineStr">
        <is>
          <t>下肢筋力強化, バランス練習, 歩行練習, 歩容改善, 起立、着座動作練習, 環境調整, 補助具、装具の適正化, 認知面への介入, 行動面への介入, 教育、指導</t>
        </is>
      </c>
    </row>
    <row r="223" ht="22.5" customHeight="1">
      <c r="A223" s="32" t="n">
        <v>46104.81925615741</v>
      </c>
      <c r="B223" s="3" t="inlineStr">
        <is>
          <t>佐藤文寛</t>
        </is>
      </c>
      <c r="C223" s="3" t="inlineStr">
        <is>
          <t>京都第一赤十字病院</t>
        </is>
      </c>
      <c r="D223" s="3" t="inlineStr">
        <is>
          <t>京都府</t>
        </is>
      </c>
      <c r="E223" s="3" t="inlineStr">
        <is>
          <t>fumi6684@gmail.com</t>
        </is>
      </c>
      <c r="F223" s="3" t="inlineStr">
        <is>
          <t>リハビリテーション科　理学療法士</t>
        </is>
      </c>
      <c r="G223" s="3" t="n">
        <v>84</v>
      </c>
      <c r="H223" s="3" t="n">
        <v>20.5</v>
      </c>
      <c r="I223" s="3" t="n">
        <v>0</v>
      </c>
      <c r="J223" s="3" t="inlineStr">
        <is>
          <t>届け出をしておらず、検討もしていない</t>
        </is>
      </c>
      <c r="K223" s="3" t="inlineStr">
        <is>
          <t>関節可動域運動, 筋力増強運動, 呼吸リハビリテーション, DVT予防, リラクセーション, ポジショニング, 自主運動指導, 術後リハビリテーションのオリエンテーション, 離床（例：車椅子移乗,立位,歩行など）</t>
        </is>
      </c>
      <c r="L223" s="3" t="inlineStr">
        <is>
          <t>全症例の0％〜24％程度</t>
        </is>
      </c>
      <c r="N223" s="3" t="inlineStr">
        <is>
          <t>全症例の0％〜24％程度</t>
        </is>
      </c>
      <c r="P223" s="3" t="inlineStr">
        <is>
          <t>全症例の0％〜24％程度</t>
        </is>
      </c>
      <c r="R223" s="3" t="inlineStr">
        <is>
          <t>全症例の0％〜24％程度</t>
        </is>
      </c>
      <c r="T223" s="3" t="inlineStr">
        <is>
          <t>握力, 5回椅子立ち上がりテスト, 歩行速度, 下腿周径, SARC-F</t>
        </is>
      </c>
      <c r="V223" s="3" t="inlineStr">
        <is>
          <t>TUG, 握力</t>
        </is>
      </c>
      <c r="X223" s="3" t="inlineStr">
        <is>
          <t>立ち上がりテスト</t>
        </is>
      </c>
      <c r="Z223" s="3" t="inlineStr">
        <is>
          <t>Barthel Index（BI）, FIM</t>
        </is>
      </c>
      <c r="AB223" s="3" t="inlineStr">
        <is>
          <t>実施していない</t>
        </is>
      </c>
      <c r="AC223" s="3" t="inlineStr">
        <is>
          <t>業務負担となるため</t>
        </is>
      </c>
      <c r="AD223" s="3" t="inlineStr">
        <is>
          <t>TUG, 10m歩行速度</t>
        </is>
      </c>
      <c r="AF223" s="3" t="inlineStr">
        <is>
          <t>決まっている</t>
        </is>
      </c>
      <c r="AG223" s="3" t="inlineStr">
        <is>
          <t>初回と最終日</t>
        </is>
      </c>
      <c r="AI223" s="3" t="inlineStr">
        <is>
          <t>下肢筋力強化, バランス練習, 歩行練習, 歩容改善, 起立、着座動作練習, 環境調整, 補助具、装具の適正化, 教育、指導</t>
        </is>
      </c>
    </row>
    <row r="224" ht="22.5" customHeight="1">
      <c r="A224" s="32" t="n">
        <v>46104.90035166666</v>
      </c>
      <c r="B224" s="3" t="inlineStr">
        <is>
          <t>江尻真由美</t>
        </is>
      </c>
      <c r="C224" s="3" t="inlineStr">
        <is>
          <t>市立砺波総合病院</t>
        </is>
      </c>
      <c r="D224" s="3" t="inlineStr">
        <is>
          <t>富山県</t>
        </is>
      </c>
      <c r="E224" s="3" t="inlineStr">
        <is>
          <t>mayumi.ejiri@med.tonami.toyama.jp</t>
        </is>
      </c>
      <c r="F224" s="3" t="inlineStr">
        <is>
          <t>総合リハビリテーションセンター/理学療法士</t>
        </is>
      </c>
      <c r="G224" s="3" t="n">
        <v>83</v>
      </c>
      <c r="H224" s="3" t="n">
        <v>16.5</v>
      </c>
      <c r="I224" s="3" t="n">
        <v>3</v>
      </c>
      <c r="J224" s="3" t="inlineStr">
        <is>
          <t>届け出をしておらず、検討もしていない</t>
        </is>
      </c>
      <c r="K224" s="3" t="inlineStr">
        <is>
          <t>実施していない</t>
        </is>
      </c>
      <c r="L224" s="3" t="inlineStr">
        <is>
          <t>全症例の25％〜49％程度</t>
        </is>
      </c>
      <c r="N224" s="3" t="inlineStr">
        <is>
          <t>全症例の0％〜24％程度</t>
        </is>
      </c>
      <c r="P224" s="3" t="inlineStr">
        <is>
          <t>全症例の0％〜24％程度</t>
        </is>
      </c>
      <c r="R224" s="3" t="inlineStr">
        <is>
          <t>全症例の0％〜24％程度</t>
        </is>
      </c>
      <c r="T224" s="3" t="inlineStr">
        <is>
          <t>実施していない</t>
        </is>
      </c>
      <c r="V224" s="3" t="inlineStr">
        <is>
          <t>実施していない</t>
        </is>
      </c>
      <c r="X224" s="3" t="inlineStr">
        <is>
          <t>立ち上がりテスト, 2ステップテスト, ロコモ25（質問票）</t>
        </is>
      </c>
      <c r="Z224" s="3" t="inlineStr">
        <is>
          <t>FIM</t>
        </is>
      </c>
      <c r="AB224" s="3" t="inlineStr">
        <is>
          <t>HDS-R, AMTS</t>
        </is>
      </c>
      <c r="AD224" s="3" t="inlineStr">
        <is>
          <t>SPPB、Functional Reach Test（FRT）</t>
        </is>
      </c>
      <c r="AF224" s="3" t="inlineStr">
        <is>
          <t>決まっていない</t>
        </is>
      </c>
      <c r="AH224" s="3" t="inlineStr">
        <is>
          <t>特にない</t>
        </is>
      </c>
      <c r="AI224" s="3" t="inlineStr">
        <is>
          <t>下肢筋力強化, 起立、着座動作練習, 環境調整</t>
        </is>
      </c>
    </row>
    <row r="225" ht="22.5" customHeight="1">
      <c r="A225" s="32" t="n">
        <v>46105.57908108796</v>
      </c>
      <c r="B225" s="3" t="inlineStr">
        <is>
          <t>理学療法士</t>
        </is>
      </c>
      <c r="C225" s="3" t="inlineStr">
        <is>
          <t>秀和総合病院</t>
        </is>
      </c>
      <c r="D225" s="3" t="inlineStr">
        <is>
          <t>埼玉県</t>
        </is>
      </c>
      <c r="E225" s="3" t="inlineStr">
        <is>
          <t>rehapt@shuuwa-gh.or.jp</t>
        </is>
      </c>
      <c r="F225" s="3" t="inlineStr">
        <is>
          <t>リハビリテーション科</t>
        </is>
      </c>
      <c r="G225" s="3" t="n">
        <v>122</v>
      </c>
      <c r="H225" s="3" t="n">
        <v>11</v>
      </c>
      <c r="I225" s="3" t="n">
        <v>0</v>
      </c>
      <c r="J225" s="3" t="inlineStr">
        <is>
          <t>届け出はしていないが、現在検討中である</t>
        </is>
      </c>
      <c r="K225" s="3" t="inlineStr">
        <is>
          <t>実施していない</t>
        </is>
      </c>
      <c r="L225" s="3" t="inlineStr">
        <is>
          <t>全症例の25％〜49％程度</t>
        </is>
      </c>
      <c r="N225" s="3" t="inlineStr">
        <is>
          <t>全症例の0％〜24％程度</t>
        </is>
      </c>
      <c r="P225" s="3" t="inlineStr">
        <is>
          <t>全症例の0％〜24％程度</t>
        </is>
      </c>
      <c r="R225" s="3" t="inlineStr">
        <is>
          <t>全症例の0％〜24％程度</t>
        </is>
      </c>
      <c r="T225" s="3" t="inlineStr">
        <is>
          <t>握力, TUG, 6分間歩行距離</t>
        </is>
      </c>
      <c r="V225" s="3" t="inlineStr">
        <is>
          <t>TUG</t>
        </is>
      </c>
      <c r="X225" s="3" t="inlineStr">
        <is>
          <t>立ち上がりテスト</t>
        </is>
      </c>
      <c r="Z225" s="3" t="inlineStr">
        <is>
          <t>Barthel Index（BI）, FIM</t>
        </is>
      </c>
      <c r="AB225" s="3" t="inlineStr">
        <is>
          <t>MMSE, HDS-R, AMTS</t>
        </is>
      </c>
      <c r="AD225" s="3" t="inlineStr">
        <is>
          <t>TUG</t>
        </is>
      </c>
      <c r="AF225" s="3" t="inlineStr">
        <is>
          <t>決まっている</t>
        </is>
      </c>
      <c r="AG225" s="3" t="inlineStr">
        <is>
          <t>10日目</t>
        </is>
      </c>
      <c r="AI225" s="3" t="inlineStr">
        <is>
          <t>下肢筋力強化, バランス練習, 歩行練習, 歩容改善, 起立、着座動作練習, 環境調整, 補助具、装具の適正化</t>
        </is>
      </c>
    </row>
    <row r="226" ht="22.5" customHeight="1">
      <c r="A226" s="32" t="n">
        <v>46105.59416381944</v>
      </c>
      <c r="B226" s="3" t="inlineStr">
        <is>
          <t>阿部　智充</t>
        </is>
      </c>
      <c r="C226" s="3" t="inlineStr">
        <is>
          <t>北見赤十字病院</t>
        </is>
      </c>
      <c r="D226" s="3" t="inlineStr">
        <is>
          <t>北海道</t>
        </is>
      </c>
      <c r="E226" s="3" t="inlineStr">
        <is>
          <t>abe.norimitsu10045144@gmai.com</t>
        </is>
      </c>
      <c r="F226" s="3" t="inlineStr">
        <is>
          <t>医療技術部リハビリテーション科/理学療法士</t>
        </is>
      </c>
      <c r="G226" s="3" t="n">
        <v>274</v>
      </c>
      <c r="H226" s="3" t="n">
        <v>26</v>
      </c>
      <c r="I226" s="3" t="n">
        <v>0</v>
      </c>
      <c r="J226" s="3" t="inlineStr">
        <is>
          <t>届け出はしているが、算定していない</t>
        </is>
      </c>
      <c r="K226" s="3" t="inlineStr">
        <is>
          <t>関節可動域運動, 筋力増強運動, 自主運動指導, 術後リハビリテーションのオリエンテーション</t>
        </is>
      </c>
      <c r="L226" s="3" t="inlineStr">
        <is>
          <t>全症例の25％〜49％程度</t>
        </is>
      </c>
      <c r="N226" s="3" t="inlineStr">
        <is>
          <t>全症例の25％〜49％程度</t>
        </is>
      </c>
      <c r="P226" s="3" t="inlineStr">
        <is>
          <t>全症例の0％〜24％程度</t>
        </is>
      </c>
      <c r="R226" s="3" t="inlineStr">
        <is>
          <t>全症例の0％〜24％程度</t>
        </is>
      </c>
      <c r="T226" s="3" t="inlineStr">
        <is>
          <t>握力, 膝伸展筋力, 5回椅子立ち上がりテスト, 歩行速度, SPPB, 下腿周径, GNRI, MNA-SF</t>
        </is>
      </c>
      <c r="V226" s="3" t="inlineStr">
        <is>
          <t>J-CHS基準, GNRI, MNA-SF, 握力</t>
        </is>
      </c>
      <c r="X226" s="3" t="inlineStr">
        <is>
          <t>実施していない</t>
        </is>
      </c>
      <c r="Y226" s="3" t="inlineStr">
        <is>
          <t>全評価項目が多すぎるため</t>
        </is>
      </c>
      <c r="Z226" s="3" t="inlineStr">
        <is>
          <t>FIM</t>
        </is>
      </c>
      <c r="AB226" s="3" t="inlineStr">
        <is>
          <t>MMSE, AMTS</t>
        </is>
      </c>
      <c r="AD226" s="3" t="inlineStr">
        <is>
          <t>定量的な下肢筋力測定, SPPB、Functional Reach Test（FRT）, 5回椅子立ち上がりテスト, 認知機能, 過去の転倒歴</t>
        </is>
      </c>
      <c r="AF226" s="3" t="inlineStr">
        <is>
          <t>決まっている</t>
        </is>
      </c>
      <c r="AG226" s="3" t="inlineStr">
        <is>
          <t>術後3日、術後2週</t>
        </is>
      </c>
      <c r="AI226" s="3" t="inlineStr">
        <is>
          <t>下肢筋力強化, バランス練習, 歩行練習, 歩容改善, 起立、着座動作練習, 環境調整, 補助具、装具の適正化, 薬剤調整, 教育、指導</t>
        </is>
      </c>
    </row>
    <row r="227" ht="22.5" customHeight="1">
      <c r="A227" s="32" t="n">
        <v>46105.68191942129</v>
      </c>
      <c r="B227" s="3" t="inlineStr">
        <is>
          <t>古谷朋子</t>
        </is>
      </c>
      <c r="C227" s="3" t="inlineStr">
        <is>
          <t>医療法人社団まりも会ヒロシマ平松病院</t>
        </is>
      </c>
      <c r="D227" s="3" t="inlineStr">
        <is>
          <t>広島県</t>
        </is>
      </c>
      <c r="E227" s="3" t="inlineStr">
        <is>
          <t>reha@marimokai.or.jp</t>
        </is>
      </c>
      <c r="F227" s="3" t="inlineStr">
        <is>
          <t>リハビリテーション分/理学療法士</t>
        </is>
      </c>
      <c r="G227" s="3" t="n">
        <v>1660</v>
      </c>
      <c r="H227" s="3" t="n">
        <v>37</v>
      </c>
      <c r="I227" s="3" t="n">
        <v>7</v>
      </c>
      <c r="J227" s="3" t="inlineStr">
        <is>
          <t>届け出はしていないが、現在検討中である</t>
        </is>
      </c>
      <c r="K227" s="3" t="inlineStr">
        <is>
          <t>関節可動域運動, 筋力増強運動, DVT予防, ポジショニング, 自主運動指導, 術後リハビリテーションのオリエンテーション</t>
        </is>
      </c>
      <c r="L227" s="3" t="inlineStr">
        <is>
          <t>全症例の0％〜24％程度</t>
        </is>
      </c>
      <c r="N227" s="3" t="inlineStr">
        <is>
          <t>全症例の0％〜24％程度</t>
        </is>
      </c>
      <c r="P227" s="3" t="inlineStr">
        <is>
          <t>全症例の0％〜24％程度</t>
        </is>
      </c>
      <c r="R227" s="3" t="inlineStr">
        <is>
          <t>全症例の0％〜24％程度</t>
        </is>
      </c>
      <c r="T227" s="3" t="inlineStr">
        <is>
          <t>握力, TUG</t>
        </is>
      </c>
      <c r="V227" s="3" t="inlineStr">
        <is>
          <t>TUG, 握力</t>
        </is>
      </c>
      <c r="X227" s="3" t="inlineStr">
        <is>
          <t>実施していない</t>
        </is>
      </c>
      <c r="Y227" s="3" t="inlineStr">
        <is>
          <t>他の評価で歩行やバランス機能を評価している。</t>
        </is>
      </c>
      <c r="Z227" s="3" t="inlineStr">
        <is>
          <t>Barthel Index（BI）, FIM</t>
        </is>
      </c>
      <c r="AB227" s="3" t="inlineStr">
        <is>
          <t>AMTS</t>
        </is>
      </c>
      <c r="AD227" s="3" t="inlineStr">
        <is>
          <t>開眼片脚立位時間, TUG, 5回椅子立ち上がりテスト</t>
        </is>
      </c>
      <c r="AF227" s="3" t="inlineStr">
        <is>
          <t>決まっている</t>
        </is>
      </c>
      <c r="AG227" s="3" t="inlineStr">
        <is>
          <t>術後2週、退院前日、初回外来診療時、術後120日、術後365日</t>
        </is>
      </c>
      <c r="AI227" s="3" t="inlineStr">
        <is>
          <t>下肢筋力強化, バランス練習, 歩行練習, 歩容改善, 起立、着座動作練習, 環境調整, 補助具、装具の適正化, 教育、指導</t>
        </is>
      </c>
    </row>
    <row r="228" ht="22.5" customHeight="1">
      <c r="A228" s="32" t="n">
        <v>46105.70355605324</v>
      </c>
      <c r="B228" s="3" t="inlineStr">
        <is>
          <t>藤田　八代</t>
        </is>
      </c>
      <c r="C228" s="3" t="inlineStr">
        <is>
          <t>富山県厚生農業協同組合連合会滑川病院</t>
        </is>
      </c>
      <c r="D228" s="3" t="inlineStr">
        <is>
          <t>富山県</t>
        </is>
      </c>
      <c r="E228" s="3" t="inlineStr">
        <is>
          <t>tumuzou-aiko-mama-ykf@docomo.ne.jp</t>
        </is>
      </c>
      <c r="F228" s="3" t="inlineStr">
        <is>
          <t>リハビリテーション部/理学療法士</t>
        </is>
      </c>
      <c r="G228" s="3" t="n">
        <v>66</v>
      </c>
      <c r="H228" s="3" t="n">
        <v>13</v>
      </c>
      <c r="I228" s="3" t="n">
        <v>0</v>
      </c>
      <c r="J228" s="3" t="inlineStr">
        <is>
          <t>届け出をしておらず、検討もしていない</t>
        </is>
      </c>
      <c r="K228" s="3" t="inlineStr">
        <is>
          <t>関節可動域運動, 筋力増強運動, ポジショニング, 自主運動指導, 術後リハビリテーションのオリエンテーション</t>
        </is>
      </c>
      <c r="L228" s="3" t="inlineStr">
        <is>
          <t>全症例の50％〜74％程度</t>
        </is>
      </c>
      <c r="M228" s="3" t="inlineStr">
        <is>
          <t>鎮痛剤の使用時間の調整</t>
        </is>
      </c>
      <c r="N228" s="3" t="inlineStr">
        <is>
          <t>全症例の0％〜24％程度</t>
        </is>
      </c>
      <c r="P228" s="3" t="inlineStr">
        <is>
          <t>全症例の25％〜49％程度</t>
        </is>
      </c>
      <c r="R228" s="3" t="inlineStr">
        <is>
          <t>全症例の0％〜24％程度</t>
        </is>
      </c>
      <c r="T228" s="3" t="inlineStr">
        <is>
          <t>握力, 膝伸展筋力</t>
        </is>
      </c>
      <c r="V228" s="3" t="inlineStr">
        <is>
          <t>認知機能, 握力</t>
        </is>
      </c>
      <c r="X228" s="3" t="inlineStr">
        <is>
          <t>実施していない</t>
        </is>
      </c>
      <c r="Y228" s="3" t="inlineStr">
        <is>
          <t>高齢者も多く、なかなか評価としては実施していない</t>
        </is>
      </c>
      <c r="Z228" s="3" t="inlineStr">
        <is>
          <t>Barthel Index（BI）</t>
        </is>
      </c>
      <c r="AB228" s="3" t="inlineStr">
        <is>
          <t>HDS-R</t>
        </is>
      </c>
      <c r="AD228" s="3" t="inlineStr">
        <is>
          <t>実施していない</t>
        </is>
      </c>
      <c r="AE228" s="3" t="inlineStr">
        <is>
          <t>各々ので評価しているものの、実施を施設内で定めてはいない</t>
        </is>
      </c>
      <c r="AF228" s="3" t="inlineStr">
        <is>
          <t>決まっていない</t>
        </is>
      </c>
      <c r="AH228" s="3" t="inlineStr">
        <is>
          <t>各担当者の都合に合わせ、実施しているため</t>
        </is>
      </c>
      <c r="AI228" s="3" t="inlineStr">
        <is>
          <t>下肢筋力強化, バランス練習, 歩行練習, 歩容改善, 起立、着座動作練習, 環境調整, 補助具、装具の適正化</t>
        </is>
      </c>
    </row>
    <row r="229" ht="22.5" customHeight="1">
      <c r="A229" s="32" t="n">
        <v>46105.73276153935</v>
      </c>
      <c r="B229" s="3" t="inlineStr">
        <is>
          <t>千竃　里美</t>
        </is>
      </c>
      <c r="C229" s="3" t="inlineStr">
        <is>
          <t>碧南市民病院</t>
        </is>
      </c>
      <c r="D229" s="3" t="inlineStr">
        <is>
          <t>愛知県</t>
        </is>
      </c>
      <c r="E229" s="3" t="inlineStr">
        <is>
          <t>rehash@hospital.hekinan.aichi.jp</t>
        </is>
      </c>
      <c r="F229" s="3" t="inlineStr">
        <is>
          <t>リハビリテーション室・理学療法士</t>
        </is>
      </c>
      <c r="G229" s="3" t="n">
        <v>116</v>
      </c>
      <c r="H229" s="3" t="n">
        <v>11</v>
      </c>
      <c r="I229" s="3" t="n">
        <v>5</v>
      </c>
      <c r="J229" s="3" t="inlineStr">
        <is>
          <t>届け出をしておらず、検討もしていない</t>
        </is>
      </c>
      <c r="K229" s="3" t="inlineStr">
        <is>
          <t>筋力増強運動, DVT予防, 自主運動指導, 術後リハビリテーションのオリエンテーション</t>
        </is>
      </c>
      <c r="L229" s="3" t="inlineStr">
        <is>
          <t>全症例の75％〜100％程度</t>
        </is>
      </c>
      <c r="N229" s="3" t="inlineStr">
        <is>
          <t>全症例の0％〜24％程度</t>
        </is>
      </c>
      <c r="P229" s="3" t="inlineStr">
        <is>
          <t>全症例の0％〜24％程度</t>
        </is>
      </c>
      <c r="R229" s="3" t="inlineStr">
        <is>
          <t>全症例の0％〜24％程度</t>
        </is>
      </c>
      <c r="T229" s="3" t="inlineStr">
        <is>
          <t>握力, 膝伸展筋力, TUG</t>
        </is>
      </c>
      <c r="V229" s="3" t="inlineStr">
        <is>
          <t>TUG, 握力</t>
        </is>
      </c>
      <c r="X229" s="3" t="inlineStr">
        <is>
          <t>実施していない</t>
        </is>
      </c>
      <c r="Z229" s="3" t="inlineStr">
        <is>
          <t>Barthel Index（BI）, FIM</t>
        </is>
      </c>
      <c r="AB229" s="3" t="inlineStr">
        <is>
          <t>MMSE, HDS-R, AMTS</t>
        </is>
      </c>
      <c r="AD229" s="3" t="inlineStr">
        <is>
          <t>認知機能, 転倒リスク評価表、術後翌日に立位が可か不可の評価</t>
        </is>
      </c>
      <c r="AF229" s="3" t="inlineStr">
        <is>
          <t>決まっていない</t>
        </is>
      </c>
      <c r="AI229" s="3" t="inlineStr">
        <is>
          <t>下肢筋力強化, 歩行練習, 起立、着座動作練習, 環境調整, 教育、指導</t>
        </is>
      </c>
    </row>
    <row r="230" ht="22.5" customHeight="1">
      <c r="A230" s="32" t="n">
        <v>46105.77224481481</v>
      </c>
      <c r="B230" s="3" t="inlineStr">
        <is>
          <t>青木　隆幸</t>
        </is>
      </c>
      <c r="C230" s="3" t="inlineStr">
        <is>
          <t>知多厚生病院</t>
        </is>
      </c>
      <c r="D230" s="3" t="inlineStr">
        <is>
          <t>愛知県</t>
        </is>
      </c>
      <c r="E230" s="3" t="inlineStr">
        <is>
          <t>t_aoki@chita.jaaikosei.or.jp</t>
        </is>
      </c>
      <c r="F230" s="3" t="inlineStr">
        <is>
          <t>リハビリテーション室/理学療法士</t>
        </is>
      </c>
      <c r="G230" s="3" t="n">
        <v>106</v>
      </c>
      <c r="H230" s="3" t="n">
        <v>16</v>
      </c>
      <c r="I230" s="3" t="n">
        <v>12</v>
      </c>
      <c r="J230" s="3" t="inlineStr">
        <is>
          <t>届け出はしていないが、現在検討中である</t>
        </is>
      </c>
      <c r="K230" s="3" t="inlineStr">
        <is>
          <t>実施していない</t>
        </is>
      </c>
      <c r="L230" s="3" t="inlineStr">
        <is>
          <t>全症例の0％〜24％程度</t>
        </is>
      </c>
      <c r="N230" s="3" t="inlineStr">
        <is>
          <t>全症例の0％〜24％程度</t>
        </is>
      </c>
      <c r="P230" s="3" t="inlineStr">
        <is>
          <t>全症例の25％〜49％程度</t>
        </is>
      </c>
      <c r="R230" s="3" t="inlineStr">
        <is>
          <t>全症例の0％〜24％程度</t>
        </is>
      </c>
      <c r="T230" s="3" t="inlineStr">
        <is>
          <t>握力, 膝伸展筋力, 5回椅子立ち上がりテスト, 歩行速度, TUG</t>
        </is>
      </c>
      <c r="V230" s="3" t="inlineStr">
        <is>
          <t>TUG, 握力</t>
        </is>
      </c>
      <c r="X230" s="3" t="inlineStr">
        <is>
          <t>2ステップテスト</t>
        </is>
      </c>
      <c r="Z230" s="3" t="inlineStr">
        <is>
          <t>FIM</t>
        </is>
      </c>
      <c r="AB230" s="3" t="inlineStr">
        <is>
          <t>MMSE, HDS-R</t>
        </is>
      </c>
      <c r="AD230" s="3" t="inlineStr">
        <is>
          <t>実施していない</t>
        </is>
      </c>
      <c r="AE230" s="3" t="inlineStr">
        <is>
          <t>活動の一環としては実施していない。患者状態によって評価項目を選択して実施している</t>
        </is>
      </c>
      <c r="AI230" s="3" t="inlineStr">
        <is>
          <t>下肢筋力強化, バランス練習, 歩行練習, 教育、指導</t>
        </is>
      </c>
    </row>
    <row r="231" ht="22.5" customHeight="1">
      <c r="A231" s="32" t="n">
        <v>46105.82606065973</v>
      </c>
      <c r="B231" s="3" t="inlineStr">
        <is>
          <t>廣重 愼一</t>
        </is>
      </c>
      <c r="C231" s="3" t="inlineStr">
        <is>
          <t>地方独立行政法人長崎市立病院機構 長崎みなとメディカルセンター</t>
        </is>
      </c>
      <c r="D231" s="3" t="inlineStr">
        <is>
          <t>長崎県</t>
        </is>
      </c>
      <c r="E231" s="3" t="inlineStr">
        <is>
          <t>hiroshige_shinichi@ncho.jp</t>
        </is>
      </c>
      <c r="F231" s="3" t="inlineStr">
        <is>
          <t>リハビリテーション部/理学療法士</t>
        </is>
      </c>
      <c r="G231" s="3" t="n">
        <v>122</v>
      </c>
      <c r="H231" s="3" t="n">
        <v>5</v>
      </c>
      <c r="I231" s="3" t="n">
        <v>2</v>
      </c>
      <c r="J231" s="3" t="inlineStr">
        <is>
          <t>届け出はしていないが、現在検討中である</t>
        </is>
      </c>
      <c r="K231" s="3" t="inlineStr">
        <is>
          <t>関節可動域運動, DVT予防, リラクセーション, ポジショニング, 自主運動指導, 術後リハビリテーションのオリエンテーション</t>
        </is>
      </c>
      <c r="L231" s="3" t="inlineStr">
        <is>
          <t>全症例の50％〜74％程度</t>
        </is>
      </c>
      <c r="M231" s="3" t="inlineStr">
        <is>
          <t>術創部の疼痛緩和目的に、リハ開始30分前に鎮痛薬の内服を実施。また、PTOTが午前午後に分けて、少量頻回の関与を行っている。</t>
        </is>
      </c>
      <c r="N231" s="3" t="inlineStr">
        <is>
          <t>全症例の25％〜49％程度</t>
        </is>
      </c>
      <c r="P231" s="3" t="inlineStr">
        <is>
          <t>全症例の25％〜49％程度</t>
        </is>
      </c>
      <c r="R231" s="3" t="inlineStr">
        <is>
          <t>全症例の0％〜24％程度</t>
        </is>
      </c>
      <c r="T231" s="3" t="inlineStr">
        <is>
          <t>下腿周径, ABMS-Ⅱ</t>
        </is>
      </c>
      <c r="V231" s="3" t="inlineStr">
        <is>
          <t>認知機能, 抑うつや意欲低下</t>
        </is>
      </c>
      <c r="X231" s="3" t="inlineStr">
        <is>
          <t>実施していない</t>
        </is>
      </c>
      <c r="Y231" s="3" t="inlineStr">
        <is>
          <t>術後２週程度で転院のため、ロコモティブシンドロームの評価まで実施できていないケースが多い。</t>
        </is>
      </c>
      <c r="Z231" s="3" t="inlineStr">
        <is>
          <t>Barthel Index（BI）</t>
        </is>
      </c>
      <c r="AB231" s="3" t="inlineStr">
        <is>
          <t>MMSE, J-NCS</t>
        </is>
      </c>
      <c r="AD231" s="3" t="inlineStr">
        <is>
          <t>定量的な下肢筋力測定, 認知機能, 注意障害, せん妄, 過去の転倒歴, ABMS-Ⅱ</t>
        </is>
      </c>
      <c r="AF231" s="3" t="inlineStr">
        <is>
          <t>決まっている</t>
        </is>
      </c>
      <c r="AG231" s="3" t="inlineStr">
        <is>
          <t>1、3、5、7日目</t>
        </is>
      </c>
      <c r="AI231" s="3" t="inlineStr">
        <is>
          <t>下肢筋力強化, バランス練習, 歩行練習, 歩容改善, 起立、着座動作練習, 環境調整, 補助具、装具の適正化, 認知面への介入, 行動面への介入, 薬剤調整, 教育、指導</t>
        </is>
      </c>
    </row>
    <row r="232" ht="22.5" customHeight="1">
      <c r="A232" s="32" t="n">
        <v>46106.44343371528</v>
      </c>
      <c r="B232" s="3" t="inlineStr">
        <is>
          <t>栗原大翼</t>
        </is>
      </c>
      <c r="C232" s="3" t="inlineStr">
        <is>
          <t>医療法人社団弘人会中田病院</t>
        </is>
      </c>
      <c r="D232" s="3" t="inlineStr">
        <is>
          <t>埼玉県</t>
        </is>
      </c>
      <c r="E232" s="3" t="inlineStr">
        <is>
          <t>reha@nakada-hp.com</t>
        </is>
      </c>
      <c r="F232" s="3" t="inlineStr">
        <is>
          <t>リハビリテーション科/理学療法士</t>
        </is>
      </c>
      <c r="G232" s="3" t="n">
        <v>140</v>
      </c>
      <c r="H232" s="3" t="n">
        <v>30</v>
      </c>
      <c r="I232" s="3" t="n">
        <v>8</v>
      </c>
      <c r="J232" s="3" t="inlineStr">
        <is>
          <t>届け出はしていないが、現在検討中である</t>
        </is>
      </c>
      <c r="K232" s="3" t="inlineStr">
        <is>
          <t>関節可動域運動, 筋力増強運動, ポジショニング, 術後リハビリテーションのオリエンテーション</t>
        </is>
      </c>
      <c r="L232" s="3" t="inlineStr">
        <is>
          <t>全症例の0％〜24％程度</t>
        </is>
      </c>
      <c r="N232" s="3" t="inlineStr">
        <is>
          <t>全症例の25％〜49％程度</t>
        </is>
      </c>
      <c r="P232" s="3" t="inlineStr">
        <is>
          <t>全症例の25％〜49％程度</t>
        </is>
      </c>
      <c r="R232" s="3" t="inlineStr">
        <is>
          <t>全症例の0％〜24％程度</t>
        </is>
      </c>
      <c r="T232" s="3" t="inlineStr">
        <is>
          <t>歩行速度, SPPB, TUG, 開眼片脚立位時間, 下腿周径</t>
        </is>
      </c>
      <c r="V232" s="3" t="inlineStr">
        <is>
          <t>J-CHS基準, TUG, 握力</t>
        </is>
      </c>
      <c r="X232" s="3" t="inlineStr">
        <is>
          <t>立ち上がりテスト</t>
        </is>
      </c>
      <c r="Z232" s="3" t="inlineStr">
        <is>
          <t>Barthel Index（BI）, FIM</t>
        </is>
      </c>
      <c r="AB232" s="3" t="inlineStr">
        <is>
          <t>HDS-R</t>
        </is>
      </c>
      <c r="AD232" s="3" t="inlineStr">
        <is>
          <t>TUG, Berg Balance Scale（BBS）, ベッド周囲および病室環境</t>
        </is>
      </c>
      <c r="AF232" s="3" t="inlineStr">
        <is>
          <t>決まっていない</t>
        </is>
      </c>
      <c r="AH232" s="3" t="inlineStr">
        <is>
          <t>各スタッフに評価時期を判断してもらっている。</t>
        </is>
      </c>
      <c r="AI232" s="3" t="inlineStr">
        <is>
          <t>下肢筋力強化, バランス練習, 歩行練習, 起立、着座動作練習, 環境調整, 行動面への介入, 教育、指導</t>
        </is>
      </c>
    </row>
    <row r="233" ht="22.5" customHeight="1">
      <c r="A233" s="32" t="n">
        <v>46106.44972113426</v>
      </c>
      <c r="B233" s="3" t="inlineStr">
        <is>
          <t>森　清子</t>
        </is>
      </c>
      <c r="C233" s="3" t="inlineStr">
        <is>
          <t>医療法人　宝生会　ＰＬ病院</t>
        </is>
      </c>
      <c r="D233" s="3" t="inlineStr">
        <is>
          <t>大阪府</t>
        </is>
      </c>
      <c r="E233" s="3" t="inlineStr">
        <is>
          <t>reha@plhospital.or.jp</t>
        </is>
      </c>
      <c r="F233" s="3" t="inlineStr">
        <is>
          <t>リハビリテーション科/理学療法士</t>
        </is>
      </c>
      <c r="G233" s="3" t="n">
        <v>101</v>
      </c>
      <c r="H233" s="3" t="n">
        <v>19</v>
      </c>
      <c r="I233" s="3" t="n">
        <v>1</v>
      </c>
      <c r="J233" s="3" t="inlineStr">
        <is>
          <t>届け出をしておらず、検討もしていない</t>
        </is>
      </c>
      <c r="K233" s="3" t="inlineStr">
        <is>
          <t>呼吸リハビリテーション, DVT予防, リラクセーション, 自主運動指導, 術後リハビリテーションのオリエンテーション, 離床（例：車椅子移乗,立位,歩行など）</t>
        </is>
      </c>
      <c r="L233" s="3" t="inlineStr">
        <is>
          <t>全症例の75％〜100％程度</t>
        </is>
      </c>
      <c r="M233" s="3" t="inlineStr">
        <is>
          <t>投薬コントロール　物理療法　自動介助運動　リラグゼーション手技　実施時間の調整　装具の使用　複数人で対応</t>
        </is>
      </c>
      <c r="N233" s="3" t="inlineStr">
        <is>
          <t>全症例の0％〜24％程度</t>
        </is>
      </c>
      <c r="P233" s="3" t="inlineStr">
        <is>
          <t>全症例の0％〜24％程度</t>
        </is>
      </c>
      <c r="R233" s="3" t="inlineStr">
        <is>
          <t>全症例の0％〜24％程度</t>
        </is>
      </c>
      <c r="T233" s="3" t="inlineStr">
        <is>
          <t>握力, 膝伸展筋力, 歩行速度, SPPB, TUG, 6分間歩行距離, 開眼片脚立位時間, 下腿周径</t>
        </is>
      </c>
      <c r="V233" s="3" t="inlineStr">
        <is>
          <t>TUG, 6分間歩行距離, 握力</t>
        </is>
      </c>
      <c r="X233" s="3" t="inlineStr">
        <is>
          <t>立ち上がりテスト, 2ステップテスト</t>
        </is>
      </c>
      <c r="Z233" s="3" t="inlineStr">
        <is>
          <t>Barthel Index（BI）, FIM</t>
        </is>
      </c>
      <c r="AB233" s="3" t="inlineStr">
        <is>
          <t>MMSE, HDS-R</t>
        </is>
      </c>
      <c r="AD233" s="3" t="inlineStr">
        <is>
          <t>実施していない</t>
        </is>
      </c>
      <c r="AE233" s="3" t="inlineStr">
        <is>
          <t>個々での評価は行っているが、FLS活動として決められた項目がない</t>
        </is>
      </c>
      <c r="AI233" s="3" t="inlineStr">
        <is>
          <t>下肢筋力強化, バランス練習, 歩行練習, 歩容改善, 起立、着座動作練習, 環境調整, 補助具、装具の適正化, 認知面への介入, 教育、指導</t>
        </is>
      </c>
    </row>
    <row r="234" ht="22.5" customHeight="1">
      <c r="A234" s="32" t="n">
        <v>46106.49463253472</v>
      </c>
      <c r="B234" s="3" t="inlineStr">
        <is>
          <t>小川泰敬</t>
        </is>
      </c>
      <c r="C234" s="3" t="inlineStr">
        <is>
          <t>社会医療法人善仁会　宮崎善仁会病院</t>
        </is>
      </c>
      <c r="D234" s="3" t="inlineStr">
        <is>
          <t>宮崎県</t>
        </is>
      </c>
      <c r="E234" s="3" t="inlineStr">
        <is>
          <t>y-ogawa@m-zenjin.or.jp</t>
        </is>
      </c>
      <c r="F234" s="3" t="inlineStr">
        <is>
          <t>リハビリテーション部／理学療法士</t>
        </is>
      </c>
      <c r="G234" s="3" t="n">
        <v>124</v>
      </c>
      <c r="H234" s="3" t="n">
        <v>13</v>
      </c>
      <c r="I234" s="3" t="n">
        <v>0</v>
      </c>
      <c r="J234" s="3" t="inlineStr">
        <is>
          <t>届け出はしていないが、現在検討中である</t>
        </is>
      </c>
      <c r="K234" s="3" t="inlineStr">
        <is>
          <t>関節可動域運動, 筋力増強運動, 術後リハビリテーションのオリエンテーション</t>
        </is>
      </c>
      <c r="L234" s="3" t="inlineStr">
        <is>
          <t>全症例の0％〜24％程度</t>
        </is>
      </c>
      <c r="N234" s="3" t="inlineStr">
        <is>
          <t>全症例の0％〜24％程度</t>
        </is>
      </c>
      <c r="P234" s="3" t="inlineStr">
        <is>
          <t>全症例の0％〜24％程度</t>
        </is>
      </c>
      <c r="R234" s="3" t="inlineStr">
        <is>
          <t>全症例の0％〜24％程度</t>
        </is>
      </c>
      <c r="T234" s="3" t="inlineStr">
        <is>
          <t>握力, 開眼片脚立位時間, 下腿周径</t>
        </is>
      </c>
      <c r="V234" s="3" t="inlineStr">
        <is>
          <t>握力</t>
        </is>
      </c>
      <c r="X234" s="3" t="inlineStr">
        <is>
          <t>実施していない</t>
        </is>
      </c>
      <c r="Y234" s="3" t="inlineStr">
        <is>
          <t>特に理由はない</t>
        </is>
      </c>
      <c r="Z234" s="3" t="inlineStr">
        <is>
          <t>Barthel Index（BI）</t>
        </is>
      </c>
      <c r="AB234" s="3" t="inlineStr">
        <is>
          <t>AMTS</t>
        </is>
      </c>
      <c r="AD234" s="3" t="inlineStr">
        <is>
          <t>Fall Risk Index</t>
        </is>
      </c>
      <c r="AF234" s="3" t="inlineStr">
        <is>
          <t>決まっている</t>
        </is>
      </c>
      <c r="AG234" s="3" t="inlineStr">
        <is>
          <t>8日目</t>
        </is>
      </c>
      <c r="AI234" s="3" t="inlineStr">
        <is>
          <t>下肢筋力強化, バランス練習, 歩行練習, 歩容改善, 起立、着座動作練習, 環境調整, 補助具、装具の適正化, 認知面への介入, 教育、指導</t>
        </is>
      </c>
    </row>
    <row r="235" ht="22.5" customHeight="1">
      <c r="A235" s="32" t="n">
        <v>46106.51589127315</v>
      </c>
      <c r="B235" s="3" t="inlineStr">
        <is>
          <t>箭内健治</t>
        </is>
      </c>
      <c r="C235" s="3" t="inlineStr">
        <is>
          <t>川崎市立井田病院</t>
        </is>
      </c>
      <c r="D235" s="3" t="inlineStr">
        <is>
          <t>神奈川県</t>
        </is>
      </c>
      <c r="E235" s="3" t="inlineStr">
        <is>
          <t>jen-lote2001@ezweb.ne.jp</t>
        </is>
      </c>
      <c r="F235" s="3" t="inlineStr">
        <is>
          <t>リハビリテーション科/理学療法士</t>
        </is>
      </c>
      <c r="G235" s="3" t="n">
        <v>110</v>
      </c>
      <c r="H235" s="3" t="n">
        <v>12</v>
      </c>
      <c r="I235" s="3" t="n">
        <v>5</v>
      </c>
      <c r="J235" s="3" t="inlineStr">
        <is>
          <t>届け出をしておらず、検討もしていない</t>
        </is>
      </c>
      <c r="K235" s="3" t="inlineStr">
        <is>
          <t>関節可動域運動, 筋力増強運動, 呼吸リハビリテーション, リラクセーション, 自主運動指導, 離床（例：車椅子移乗,立位,歩行など）</t>
        </is>
      </c>
      <c r="L235" s="3" t="inlineStr">
        <is>
          <t>全症例の25％〜49％程度</t>
        </is>
      </c>
      <c r="N235" s="3" t="inlineStr">
        <is>
          <t>全症例の25％〜49％程度</t>
        </is>
      </c>
      <c r="P235" s="3" t="inlineStr">
        <is>
          <t>全症例の0％〜24％程度</t>
        </is>
      </c>
      <c r="R235" s="3" t="inlineStr">
        <is>
          <t>全症例の0％〜24％程度</t>
        </is>
      </c>
      <c r="T235" s="3" t="inlineStr">
        <is>
          <t>握力, 膝伸展筋力, 5回椅子立ち上がりテスト, 歩行速度, SPPB, TUG, 開眼片脚立位時間</t>
        </is>
      </c>
      <c r="V235" s="3" t="inlineStr">
        <is>
          <t>J-CHS基準, TUG, 認知機能, 握力</t>
        </is>
      </c>
      <c r="X235" s="3" t="inlineStr">
        <is>
          <t>立ち上がりテスト, 2ステップテスト</t>
        </is>
      </c>
      <c r="Z235" s="3" t="inlineStr">
        <is>
          <t>Barthel Index（BI）, FIM</t>
        </is>
      </c>
      <c r="AB235" s="3" t="inlineStr">
        <is>
          <t>HDS-R</t>
        </is>
      </c>
      <c r="AD235" s="3" t="inlineStr">
        <is>
          <t>実施していない</t>
        </is>
      </c>
      <c r="AI235" s="3" t="inlineStr">
        <is>
          <t>下肢筋力強化, バランス練習, 歩行練習, 歩容改善, 起立、着座動作練習, 教育、指導</t>
        </is>
      </c>
    </row>
    <row r="236" ht="22.5" customHeight="1">
      <c r="A236" s="32" t="n">
        <v>46106.55922453704</v>
      </c>
      <c r="B236" s="3" t="inlineStr">
        <is>
          <t>柏原　康利</t>
        </is>
      </c>
      <c r="C236" s="3" t="inlineStr">
        <is>
          <t>社会医療法人　社団沼南会　沼隈病院</t>
        </is>
      </c>
      <c r="D236" s="3" t="inlineStr">
        <is>
          <t>広島県</t>
        </is>
      </c>
      <c r="E236" s="3" t="inlineStr">
        <is>
          <t>ykashihara@shounankai.com</t>
        </is>
      </c>
      <c r="F236" s="3" t="inlineStr">
        <is>
          <t>リハビリテーション課/理学療法士</t>
        </is>
      </c>
      <c r="G236" s="3" t="n">
        <v>53</v>
      </c>
      <c r="H236" s="3" t="n">
        <v>7.5</v>
      </c>
      <c r="I236" s="3" t="n">
        <v>6</v>
      </c>
      <c r="J236" s="3" t="inlineStr">
        <is>
          <t>現在、算定している</t>
        </is>
      </c>
      <c r="K236" s="3" t="inlineStr">
        <is>
          <t>関節可動域運動, 筋力増強運動, DVT予防, リラクセーション, ポジショニング</t>
        </is>
      </c>
      <c r="L236" s="3" t="inlineStr">
        <is>
          <t>全症例の75％〜100％程度</t>
        </is>
      </c>
      <c r="M236" s="3" t="inlineStr">
        <is>
          <t>DVT予防・RICE・牽引</t>
        </is>
      </c>
      <c r="N236" s="3" t="inlineStr">
        <is>
          <t>全症例の0％〜24％程度</t>
        </is>
      </c>
      <c r="P236" s="3" t="inlineStr">
        <is>
          <t>全症例の0％〜24％程度</t>
        </is>
      </c>
      <c r="R236" s="3" t="inlineStr">
        <is>
          <t>全症例の0％〜24％程度</t>
        </is>
      </c>
      <c r="T236" s="3" t="inlineStr">
        <is>
          <t>膝伸展筋力, TUG, 開眼片脚立位時間</t>
        </is>
      </c>
      <c r="V236" s="3" t="inlineStr">
        <is>
          <t>TUG</t>
        </is>
      </c>
      <c r="X236" s="3" t="inlineStr">
        <is>
          <t>実施していない</t>
        </is>
      </c>
      <c r="Y236" s="3" t="inlineStr">
        <is>
          <t>医師の指示がないため</t>
        </is>
      </c>
      <c r="Z236" s="3" t="inlineStr">
        <is>
          <t>Barthel Index（BI）, FIM</t>
        </is>
      </c>
      <c r="AB236" s="3" t="inlineStr">
        <is>
          <t>MMSE, AMTS</t>
        </is>
      </c>
      <c r="AD236" s="3" t="inlineStr">
        <is>
          <t>定量的な下肢筋力測定, 認知機能, 既往疾患の有無（脳血管疾患、パーキンソン病など）, 薬剤（向精神薬、降圧薬、利尿薬、ポリファーマシーなど）, ベッド周囲および病室環境</t>
        </is>
      </c>
      <c r="AF236" s="3" t="inlineStr">
        <is>
          <t>決まっている</t>
        </is>
      </c>
      <c r="AG236" s="3" t="inlineStr">
        <is>
          <t>術後７日目までに実施。</t>
        </is>
      </c>
      <c r="AI236" s="3" t="inlineStr">
        <is>
          <t>下肢筋力強化, バランス練習, 歩行練習, 起立、着座動作練習, 環境調整, 教育、指導</t>
        </is>
      </c>
    </row>
    <row r="237" ht="22.5" customHeight="1">
      <c r="A237" s="32" t="n">
        <v>46106.577015</v>
      </c>
      <c r="B237" s="3" t="inlineStr">
        <is>
          <t>鈴木隆範</t>
        </is>
      </c>
      <c r="C237" s="3" t="inlineStr">
        <is>
          <t>JA静岡厚生連　遠州病院</t>
        </is>
      </c>
      <c r="D237" s="3" t="inlineStr">
        <is>
          <t>静岡県</t>
        </is>
      </c>
      <c r="E237" s="3" t="inlineStr">
        <is>
          <t>southern310@gmail.com</t>
        </is>
      </c>
      <c r="F237" s="3" t="inlineStr">
        <is>
          <t>リハビリテーション科　理学療法士</t>
        </is>
      </c>
      <c r="G237" s="3" t="n">
        <v>312</v>
      </c>
      <c r="H237" s="3" t="n">
        <v>6</v>
      </c>
      <c r="I237" s="3" t="n">
        <v>6</v>
      </c>
      <c r="J237" s="3" t="inlineStr">
        <is>
          <t>届け出をしておらず、検討もしていない</t>
        </is>
      </c>
      <c r="K237" s="3" t="inlineStr">
        <is>
          <t>実施していない</t>
        </is>
      </c>
      <c r="L237" s="3" t="inlineStr">
        <is>
          <t>全症例の50％〜74％程度</t>
        </is>
      </c>
      <c r="M237" s="3" t="inlineStr">
        <is>
          <t>介入当初より端座位や車椅子乗車などをすすめる</t>
        </is>
      </c>
      <c r="N237" s="3" t="inlineStr">
        <is>
          <t>全症例の0％〜24％程度</t>
        </is>
      </c>
      <c r="P237" s="3" t="inlineStr">
        <is>
          <t>全症例の0％〜24％程度</t>
        </is>
      </c>
      <c r="R237" s="3" t="inlineStr">
        <is>
          <t>全症例の0％〜24％程度</t>
        </is>
      </c>
      <c r="T237" s="3" t="inlineStr">
        <is>
          <t>握力, 膝伸展筋力, 歩行速度, TUG, 開眼片脚立位時間, 下腿周径</t>
        </is>
      </c>
      <c r="V237" s="3" t="inlineStr">
        <is>
          <t>TUG, 握力</t>
        </is>
      </c>
      <c r="X237" s="3" t="inlineStr">
        <is>
          <t>実施していない</t>
        </is>
      </c>
      <c r="Y237" s="3" t="inlineStr">
        <is>
          <t>縦断評価を実施しているため</t>
        </is>
      </c>
      <c r="Z237" s="3" t="inlineStr">
        <is>
          <t>Barthel Index（BI）</t>
        </is>
      </c>
      <c r="AB237" s="3" t="inlineStr">
        <is>
          <t>HDS-R, AMTS</t>
        </is>
      </c>
      <c r="AD237" s="3" t="inlineStr">
        <is>
          <t>定量的な下肢筋力測定, 開眼片脚立位時間, TUG, 10m歩行速度</t>
        </is>
      </c>
      <c r="AF237" s="3" t="inlineStr">
        <is>
          <t>決まっていない</t>
        </is>
      </c>
      <c r="AH237" s="3" t="inlineStr">
        <is>
          <t>FLSの一環として評価はとっていない</t>
        </is>
      </c>
      <c r="AI237" s="3" t="inlineStr">
        <is>
          <t>下肢筋力強化, バランス練習, 歩行練習, 歩容改善, 起立、着座動作練習, 環境調整, 補助具、装具の適正化, 教育、指導</t>
        </is>
      </c>
    </row>
    <row r="238" ht="22.5" customHeight="1">
      <c r="A238" s="32" t="n">
        <v>46106.58114129629</v>
      </c>
      <c r="B238" s="3" t="inlineStr">
        <is>
          <t>織田聡子</t>
        </is>
      </c>
      <c r="C238" s="3" t="inlineStr">
        <is>
          <t>医療法人財団荻窪病院</t>
        </is>
      </c>
      <c r="D238" s="3" t="inlineStr">
        <is>
          <t>東京都</t>
        </is>
      </c>
      <c r="E238" s="3" t="inlineStr">
        <is>
          <t>rehabilitation@ogikubo-hospital.or.jp</t>
        </is>
      </c>
      <c r="F238" s="3" t="inlineStr">
        <is>
          <t>リハビリテーション室／理学療法士</t>
        </is>
      </c>
      <c r="G238" s="3" t="n">
        <v>142</v>
      </c>
      <c r="H238" s="3" t="n">
        <v>13</v>
      </c>
      <c r="I238" s="3" t="n">
        <v>3</v>
      </c>
      <c r="J238" s="3" t="inlineStr">
        <is>
          <t>届け出はしていないが、現在検討中である</t>
        </is>
      </c>
      <c r="K238" s="3" t="inlineStr">
        <is>
          <t>DVT予防, ポジショニング, 術後リハビリテーションのオリエンテーション</t>
        </is>
      </c>
      <c r="L238" s="3" t="inlineStr">
        <is>
          <t>全症例の0％〜24％程度</t>
        </is>
      </c>
      <c r="N238" s="3" t="inlineStr">
        <is>
          <t>全症例の0％〜24％程度</t>
        </is>
      </c>
      <c r="P238" s="3" t="inlineStr">
        <is>
          <t>全症例の0％〜24％程度</t>
        </is>
      </c>
      <c r="R238" s="3" t="inlineStr">
        <is>
          <t>全症例の0％〜24％程度</t>
        </is>
      </c>
      <c r="T238" s="3" t="inlineStr">
        <is>
          <t>握力, 膝伸展筋力, 開眼片脚立位時間, 下腿周径</t>
        </is>
      </c>
      <c r="V238" s="3" t="inlineStr">
        <is>
          <t>認知機能, 抑うつや意欲低下, 握力</t>
        </is>
      </c>
      <c r="X238" s="3" t="inlineStr">
        <is>
          <t>実施していない</t>
        </is>
      </c>
      <c r="Y238" s="3" t="inlineStr">
        <is>
          <t>ロコモティブシンドロームの評価に時間を取るというより、その時に必要な評価を優先している。</t>
        </is>
      </c>
      <c r="Z238" s="3" t="inlineStr">
        <is>
          <t>Barthel Index（BI）, FIM</t>
        </is>
      </c>
      <c r="AB238" s="3" t="inlineStr">
        <is>
          <t>MMSE, HDS-R, AMTS</t>
        </is>
      </c>
      <c r="AD238" s="3" t="inlineStr">
        <is>
          <t>実施していない</t>
        </is>
      </c>
      <c r="AE238" s="3" t="inlineStr">
        <is>
          <t>FLS活動の一環として、施設内で定めているものがないため</t>
        </is>
      </c>
      <c r="AI238" s="3" t="inlineStr">
        <is>
          <t>下肢筋力強化, バランス練習, 歩行練習, 歩容改善, 起立、着座動作練習, 環境調整, 補助具、装具の適正化, 認知面への介入, 行動面への介入, 薬剤調整, 教育、指導</t>
        </is>
      </c>
    </row>
    <row r="239" ht="22.5" customHeight="1">
      <c r="A239" s="32" t="n">
        <v>46106.59659878472</v>
      </c>
      <c r="B239" s="3" t="inlineStr">
        <is>
          <t>荒町　浩史</t>
        </is>
      </c>
      <c r="C239" s="3" t="inlineStr">
        <is>
          <t>JA岐阜厚生連飛騨医療センター久美愛厚生病院</t>
        </is>
      </c>
      <c r="D239" s="3" t="inlineStr">
        <is>
          <t>岐阜県</t>
        </is>
      </c>
      <c r="E239" s="3" t="inlineStr">
        <is>
          <t>riha-1@kumiai.gfkosei.or.jp</t>
        </is>
      </c>
      <c r="F239" s="3" t="inlineStr">
        <is>
          <t>リハビリテーション科／理学療法士</t>
        </is>
      </c>
      <c r="G239" s="3" t="n">
        <v>100</v>
      </c>
      <c r="H239" s="3" t="n">
        <v>13</v>
      </c>
      <c r="I239" s="3" t="n">
        <v>3</v>
      </c>
      <c r="J239" s="3" t="inlineStr">
        <is>
          <t>現在、算定している</t>
        </is>
      </c>
      <c r="K239" s="3" t="inlineStr">
        <is>
          <t>実施していない</t>
        </is>
      </c>
      <c r="L239" s="3" t="inlineStr">
        <is>
          <t>全症例の0％〜24％程度</t>
        </is>
      </c>
      <c r="N239" s="3" t="inlineStr">
        <is>
          <t>全症例の0％〜24％程度</t>
        </is>
      </c>
      <c r="P239" s="3" t="inlineStr">
        <is>
          <t>全症例の0％〜24％程度</t>
        </is>
      </c>
      <c r="R239" s="3" t="inlineStr">
        <is>
          <t>全症例の0％〜24％程度</t>
        </is>
      </c>
      <c r="T239" s="3" t="inlineStr">
        <is>
          <t>開眼片脚立位時間</t>
        </is>
      </c>
      <c r="V239" s="3" t="inlineStr">
        <is>
          <t>実施していない</t>
        </is>
      </c>
      <c r="W239" s="3" t="inlineStr">
        <is>
          <t>他の評価を行っている</t>
        </is>
      </c>
      <c r="X239" s="3" t="inlineStr">
        <is>
          <t>実施していない</t>
        </is>
      </c>
      <c r="Y239" s="3" t="inlineStr">
        <is>
          <t>他の評価で代用</t>
        </is>
      </c>
      <c r="Z239" s="3" t="inlineStr">
        <is>
          <t>Barthel Index（BI）</t>
        </is>
      </c>
      <c r="AB239" s="3" t="inlineStr">
        <is>
          <t>HDS-R</t>
        </is>
      </c>
      <c r="AD239" s="3" t="inlineStr">
        <is>
          <t>実施していない</t>
        </is>
      </c>
      <c r="AE239" s="3" t="inlineStr">
        <is>
          <t>FLSの一環としては行っていない</t>
        </is>
      </c>
      <c r="AH239" s="3" t="inlineStr">
        <is>
          <t>FLSとしては関わっていない</t>
        </is>
      </c>
      <c r="AI239" s="3" t="inlineStr">
        <is>
          <t>下肢筋力強化, バランス練習, 歩行練習, 歩容改善, 起立、着座動作練習, 環境調整, 補助具、装具の適正化, 認知面への介入, 教育、指導</t>
        </is>
      </c>
    </row>
    <row r="240" ht="22.5" customHeight="1">
      <c r="A240" s="32" t="n">
        <v>46106.6301559838</v>
      </c>
      <c r="B240" s="3" t="inlineStr">
        <is>
          <t>吉年雅子</t>
        </is>
      </c>
      <c r="C240" s="3" t="inlineStr">
        <is>
          <t>八尾市立病院</t>
        </is>
      </c>
      <c r="D240" s="3" t="inlineStr">
        <is>
          <t>大阪府</t>
        </is>
      </c>
      <c r="E240" s="3" t="inlineStr">
        <is>
          <t>team.ols.yao@gmail.com</t>
        </is>
      </c>
      <c r="F240" s="3" t="inlineStr">
        <is>
          <t>機能訓練科／理学療法死</t>
        </is>
      </c>
      <c r="G240" s="3" t="n">
        <v>69</v>
      </c>
      <c r="H240" s="3" t="n">
        <v>4</v>
      </c>
      <c r="I240" s="3" t="n">
        <v>0</v>
      </c>
      <c r="J240" s="3" t="inlineStr">
        <is>
          <t>現在、算定している</t>
        </is>
      </c>
      <c r="K240" s="3" t="inlineStr">
        <is>
          <t>実施していない</t>
        </is>
      </c>
      <c r="L240" s="3" t="inlineStr">
        <is>
          <t>全症例の25％〜49％程度</t>
        </is>
      </c>
      <c r="N240" s="3" t="inlineStr">
        <is>
          <t>全症例の0％〜24％程度</t>
        </is>
      </c>
      <c r="P240" s="3" t="inlineStr">
        <is>
          <t>全症例の25％〜49％程度</t>
        </is>
      </c>
      <c r="R240" s="3" t="inlineStr">
        <is>
          <t>全症例の0％〜24％程度</t>
        </is>
      </c>
      <c r="T240" s="3" t="inlineStr">
        <is>
          <t>膝伸展筋力</t>
        </is>
      </c>
      <c r="V240" s="3" t="inlineStr">
        <is>
          <t>実施していない</t>
        </is>
      </c>
      <c r="X240" s="3" t="inlineStr">
        <is>
          <t>実施していない</t>
        </is>
      </c>
      <c r="Z240" s="3" t="inlineStr">
        <is>
          <t>Barthel Index（BI）</t>
        </is>
      </c>
      <c r="AB240" s="3" t="inlineStr">
        <is>
          <t>HDS-R</t>
        </is>
      </c>
      <c r="AD240" s="3" t="inlineStr">
        <is>
          <t>実施していない</t>
        </is>
      </c>
      <c r="AI240" s="3" t="inlineStr">
        <is>
          <t>下肢筋力強化, バランス練習, 歩行練習, 起立、着座動作練習</t>
        </is>
      </c>
    </row>
    <row r="241" ht="22.5" customHeight="1">
      <c r="A241" s="32" t="n">
        <v>46106.66515976852</v>
      </c>
      <c r="B241" s="3" t="inlineStr">
        <is>
          <t>渡邊　啓太</t>
        </is>
      </c>
      <c r="C241" s="3" t="inlineStr">
        <is>
          <t>国家公務員共済組合連合会　呉共済病院</t>
        </is>
      </c>
      <c r="D241" s="3" t="inlineStr">
        <is>
          <t>広島県</t>
        </is>
      </c>
      <c r="E241" s="3" t="inlineStr">
        <is>
          <t>tabe19891204@gmail.com</t>
        </is>
      </c>
      <c r="F241" s="3" t="inlineStr">
        <is>
          <t>リハビリテーション科／理学療法士</t>
        </is>
      </c>
      <c r="G241" s="3" t="n">
        <v>194</v>
      </c>
      <c r="H241" s="3" t="n">
        <v>7</v>
      </c>
      <c r="I241" s="3" t="n">
        <v>9</v>
      </c>
      <c r="J241" s="3" t="inlineStr">
        <is>
          <t>届け出はしていないが、現在検討中である</t>
        </is>
      </c>
      <c r="K241" s="3" t="inlineStr">
        <is>
          <t>関節可動域運動, 筋力増強運動, DVT予防, ポジショニング, 自主運動指導, 術後リハビリテーションのオリエンテーション</t>
        </is>
      </c>
      <c r="L241" s="3" t="inlineStr">
        <is>
          <t>全症例の50％〜74％程度</t>
        </is>
      </c>
      <c r="M241" s="3" t="inlineStr">
        <is>
          <t>痛み止め（主に内服）の調整</t>
        </is>
      </c>
      <c r="N241" s="3" t="inlineStr">
        <is>
          <t>全症例の25％〜49％程度</t>
        </is>
      </c>
      <c r="P241" s="3" t="inlineStr">
        <is>
          <t>全症例の0％〜24％程度</t>
        </is>
      </c>
      <c r="R241" s="3" t="inlineStr">
        <is>
          <t>全症例の0％〜24％程度</t>
        </is>
      </c>
      <c r="T241" s="3" t="inlineStr">
        <is>
          <t>握力, 膝伸展筋力, 歩行速度, 開眼片脚立位時間, 骨格筋量指数（SMI）</t>
        </is>
      </c>
      <c r="V241" s="3" t="inlineStr">
        <is>
          <t>認知機能, 握力</t>
        </is>
      </c>
      <c r="X241" s="3" t="inlineStr">
        <is>
          <t>実施していない</t>
        </is>
      </c>
      <c r="Y241" s="3" t="inlineStr">
        <is>
          <t>特に理由はない</t>
        </is>
      </c>
      <c r="Z241" s="3" t="inlineStr">
        <is>
          <t>Barthel Index（BI）, FIM</t>
        </is>
      </c>
      <c r="AB241" s="3" t="inlineStr">
        <is>
          <t>HDS-R, AMTS</t>
        </is>
      </c>
      <c r="AD241" s="3" t="inlineStr">
        <is>
          <t>開眼片脚立位時間, 10m歩行速度, 認知機能</t>
        </is>
      </c>
      <c r="AF241" s="3" t="inlineStr">
        <is>
          <t>決まっている</t>
        </is>
      </c>
      <c r="AG241" s="3" t="inlineStr">
        <is>
          <t>認知機能評価－術後3日以内　運動機能評価ー術後14日目</t>
        </is>
      </c>
      <c r="AI241" s="3" t="inlineStr">
        <is>
          <t>下肢筋力強化, バランス練習, 歩行練習, 起立、着座動作練習, 環境調整, 補助具、装具の適正化, 認知面への介入, 教育、指導</t>
        </is>
      </c>
    </row>
    <row r="242" ht="22.5" customHeight="1">
      <c r="A242" s="32" t="n">
        <v>46106.704688125</v>
      </c>
      <c r="B242" s="3" t="inlineStr">
        <is>
          <t>水野 陽</t>
        </is>
      </c>
      <c r="C242" s="3" t="inlineStr">
        <is>
          <t>大阪府済生会千里病院</t>
        </is>
      </c>
      <c r="D242" s="3" t="inlineStr">
        <is>
          <t>大阪府</t>
        </is>
      </c>
      <c r="E242" s="3" t="inlineStr">
        <is>
          <t>akoyama@senri.saiseikai.or.jp</t>
        </is>
      </c>
      <c r="F242" s="3" t="inlineStr">
        <is>
          <t>リハビリテーション科/理学療法士</t>
        </is>
      </c>
      <c r="G242" s="3" t="n">
        <v>149</v>
      </c>
      <c r="H242" s="3" t="n">
        <v>18</v>
      </c>
      <c r="I242" s="3" t="n">
        <v>0</v>
      </c>
      <c r="J242" s="3" t="inlineStr">
        <is>
          <t>現在、算定している</t>
        </is>
      </c>
      <c r="K242" s="3" t="inlineStr">
        <is>
          <t>関節可動域運動, 筋力増強運動, 呼吸リハビリテーション, DVT予防, リラクセーション, ポジショニング, 自主運動指導, 術後リハビリテーションのオリエンテーション, 離床（例：車椅子移乗,立位,歩行など）</t>
        </is>
      </c>
      <c r="L242" s="3" t="inlineStr">
        <is>
          <t>全症例の50％〜74％程度</t>
        </is>
      </c>
      <c r="N242" s="3" t="inlineStr">
        <is>
          <t>全症例の0％〜24％程度</t>
        </is>
      </c>
      <c r="P242" s="3" t="inlineStr">
        <is>
          <t>全症例の25％〜49％程度</t>
        </is>
      </c>
      <c r="R242" s="3" t="inlineStr">
        <is>
          <t>全症例の0％〜24％程度</t>
        </is>
      </c>
      <c r="T242" s="3" t="inlineStr">
        <is>
          <t>握力, 膝伸展筋力, 5回椅子立ち上がりテスト, 歩行速度, SPPB, TUG, 6分間歩行距離, 開眼片脚立位時間, 下腿周径</t>
        </is>
      </c>
      <c r="V242" s="3" t="inlineStr">
        <is>
          <t>J-CHS基準, TUG, 6分間歩行距離, 認知機能, 握力</t>
        </is>
      </c>
      <c r="X242" s="3" t="inlineStr">
        <is>
          <t>立ち上がりテスト</t>
        </is>
      </c>
      <c r="Z242" s="3" t="inlineStr">
        <is>
          <t>Barthel Index（BI）, FIM</t>
        </is>
      </c>
      <c r="AB242" s="3" t="inlineStr">
        <is>
          <t>MMSE, HDS-R, MoCA</t>
        </is>
      </c>
      <c r="AD242" s="3" t="inlineStr">
        <is>
          <t>定量的な下肢筋力測定, 開眼片脚立位時間, TUG, 10m歩行速度, Berg Balance Scale（BBS）, SPPB、Functional Reach Test（FRT）, 5回椅子立ち上がりテスト, 深部感覚評価, 認知機能, 注意障害, 遂行機能, せん妄, 転倒恐怖感, 過去の転倒歴, 既往疾患の有無（脳血管疾患、パーキンソン病など）, 薬剤（向精神薬、降圧薬、利尿薬、ポリファーマシーなど）, ベッド周囲および病室環境</t>
        </is>
      </c>
      <c r="AF242" s="3" t="inlineStr">
        <is>
          <t>決まっていない</t>
        </is>
      </c>
      <c r="AI242" s="3" t="inlineStr">
        <is>
          <t>下肢筋力強化, バランス練習, 歩行練習, 歩容改善, 起立、着座動作練習, 環境調整, 補助具、装具の適正化, 認知面への介入, 行動面への介入, 薬剤調整, 教育、指導</t>
        </is>
      </c>
    </row>
    <row r="243" ht="22.5" customHeight="1">
      <c r="A243" s="32" t="n">
        <v>46106.80816748842</v>
      </c>
      <c r="B243" s="3" t="inlineStr">
        <is>
          <t>伊藤あづさ</t>
        </is>
      </c>
      <c r="C243" s="3" t="inlineStr">
        <is>
          <t>市立四日市病院</t>
        </is>
      </c>
      <c r="D243" s="3" t="inlineStr">
        <is>
          <t>三重県</t>
        </is>
      </c>
      <c r="E243" s="3" t="inlineStr">
        <is>
          <t>post-8@yokkaichihp01.jp</t>
        </is>
      </c>
      <c r="F243" s="3" t="inlineStr">
        <is>
          <t>リハビリテーション室</t>
        </is>
      </c>
      <c r="G243" s="3" t="n">
        <v>220</v>
      </c>
      <c r="H243" s="3" t="n">
        <v>14</v>
      </c>
      <c r="I243" s="3" t="n">
        <v>0</v>
      </c>
      <c r="J243" s="3" t="inlineStr">
        <is>
          <t>届け出をしておらず、検討もしていない</t>
        </is>
      </c>
      <c r="K243" s="3" t="inlineStr">
        <is>
          <t>DVT予防, 術後リハビリテーションのオリエンテーション</t>
        </is>
      </c>
      <c r="L243" s="3" t="inlineStr">
        <is>
          <t>全症例の0％〜24％程度</t>
        </is>
      </c>
      <c r="N243" s="3" t="inlineStr">
        <is>
          <t>全症例の0％〜24％程度</t>
        </is>
      </c>
      <c r="P243" s="3" t="inlineStr">
        <is>
          <t>全症例の0％〜24％程度</t>
        </is>
      </c>
      <c r="R243" s="3" t="inlineStr">
        <is>
          <t>全症例の0％〜24％程度</t>
        </is>
      </c>
      <c r="T243" s="3" t="inlineStr">
        <is>
          <t>握力, 5回椅子立ち上がりテスト, 6分間歩行距離</t>
        </is>
      </c>
      <c r="V243" s="3" t="inlineStr">
        <is>
          <t>6分間歩行距離, 握力</t>
        </is>
      </c>
      <c r="X243" s="3" t="inlineStr">
        <is>
          <t>立ち上がりテスト</t>
        </is>
      </c>
      <c r="Z243" s="3" t="inlineStr">
        <is>
          <t>Barthel Index（BI）</t>
        </is>
      </c>
      <c r="AB243" s="3" t="inlineStr">
        <is>
          <t>MMSE, MoCA</t>
        </is>
      </c>
      <c r="AD243" s="3" t="inlineStr">
        <is>
          <t>認知機能, 注意障害, せん妄, 過去の転倒歴, 既往疾患の有無（脳血管疾患、パーキンソン病など）, 薬剤（向精神薬、降圧薬、利尿薬、ポリファーマシーなど）</t>
        </is>
      </c>
      <c r="AF243" s="3" t="inlineStr">
        <is>
          <t>決まっていない</t>
        </is>
      </c>
      <c r="AI243" s="3" t="inlineStr">
        <is>
          <t>下肢筋力強化, バランス練習, 歩行練習, 起立、着座動作練習, 補助具、装具の適正化, 認知面への介入, 行動面への介入, 教育、指導</t>
        </is>
      </c>
    </row>
    <row r="244" ht="22.5" customHeight="1">
      <c r="A244" s="32" t="n">
        <v>46106.82500277778</v>
      </c>
      <c r="B244" s="3" t="inlineStr">
        <is>
          <t>小椋範久</t>
        </is>
      </c>
      <c r="C244" s="3" t="inlineStr">
        <is>
          <t>医療法人社団慶友会第一病院</t>
        </is>
      </c>
      <c r="D244" s="3" t="inlineStr">
        <is>
          <t>神奈川県</t>
        </is>
      </c>
      <c r="E244" s="3" t="inlineStr">
        <is>
          <t>reha@daiichi-hosp.jp</t>
        </is>
      </c>
      <c r="F244" s="3" t="inlineStr">
        <is>
          <t>リハビリテーション部／理学療法士</t>
        </is>
      </c>
      <c r="G244" s="3" t="n">
        <v>241</v>
      </c>
      <c r="H244" s="3" t="n">
        <v>4</v>
      </c>
      <c r="I244" s="3" t="n">
        <v>2</v>
      </c>
      <c r="J244" s="3" t="inlineStr">
        <is>
          <t>届け出をしておらず、検討もしていない</t>
        </is>
      </c>
      <c r="K244" s="3" t="inlineStr">
        <is>
          <t>実施していない</t>
        </is>
      </c>
      <c r="L244" s="3" t="inlineStr">
        <is>
          <t>全症例の75％〜100％程度</t>
        </is>
      </c>
      <c r="M244" s="3" t="inlineStr">
        <is>
          <t>筋緊張の低減のためのmobilization・mild-active-assistive関節運動を起居移乗動作・立位動作に先行して実施し、緊張亢進によるstretch painを減少させ、より積極的に運動できるよう準備しています。</t>
        </is>
      </c>
      <c r="N244" s="3" t="inlineStr">
        <is>
          <t>全症例の0％〜24％程度</t>
        </is>
      </c>
      <c r="P244" s="3" t="inlineStr">
        <is>
          <t>全症例の0％〜24％程度</t>
        </is>
      </c>
      <c r="R244" s="3" t="inlineStr">
        <is>
          <t>全症例の0％〜24％程度</t>
        </is>
      </c>
      <c r="T244" s="3" t="inlineStr">
        <is>
          <t>膝伸展筋力, 歩行速度, TUG, 下腿周径</t>
        </is>
      </c>
      <c r="V244" s="3" t="inlineStr">
        <is>
          <t>TUG, 認知機能, 握力</t>
        </is>
      </c>
      <c r="X244" s="3" t="inlineStr">
        <is>
          <t>ロコモ25（質問票）</t>
        </is>
      </c>
      <c r="Z244" s="3" t="inlineStr">
        <is>
          <t>Barthel Index（BI）, FIM</t>
        </is>
      </c>
      <c r="AB244" s="3" t="inlineStr">
        <is>
          <t>MMSE, HDS-R</t>
        </is>
      </c>
      <c r="AD244" s="3" t="inlineStr">
        <is>
          <t>認知機能, 転倒恐怖感, 過去の転倒歴, 既往疾患の有無（脳血管疾患、パーキンソン病など）, 転倒リスク評価</t>
        </is>
      </c>
      <c r="AF244" s="3" t="inlineStr">
        <is>
          <t>決まっていない</t>
        </is>
      </c>
      <c r="AH244" s="3" t="inlineStr">
        <is>
          <t>休日の診療体制が不十分であることから手術後〇日という実施は困難である。実際にはこれらを配慮された上で、評価日は医師の指示によって決定されています。</t>
        </is>
      </c>
      <c r="AI244" s="3" t="inlineStr">
        <is>
          <t>下肢筋力強化, バランス練習, 歩行練習, 歩容改善, 起立、着座動作練習, 環境調整, 認知面への介入, 行動面への介入, 教育、指導</t>
        </is>
      </c>
    </row>
    <row r="245" ht="22.5" customHeight="1">
      <c r="A245" s="32" t="n">
        <v>46107.51774278935</v>
      </c>
      <c r="B245" s="3" t="inlineStr">
        <is>
          <t>佐藤　武</t>
        </is>
      </c>
      <c r="C245" s="3" t="inlineStr">
        <is>
          <t>滝川市立病院</t>
        </is>
      </c>
      <c r="D245" s="3" t="inlineStr">
        <is>
          <t>北海道</t>
        </is>
      </c>
      <c r="E245" s="3" t="inlineStr">
        <is>
          <t>t-sato@med.takikawa.hokkaido.jp</t>
        </is>
      </c>
      <c r="F245" s="3" t="inlineStr">
        <is>
          <t>リハビリテーション科/理学療法士</t>
        </is>
      </c>
      <c r="G245" s="3" t="n">
        <v>175</v>
      </c>
      <c r="H245" s="3" t="n">
        <v>8.6</v>
      </c>
      <c r="I245" s="3" t="n">
        <v>3</v>
      </c>
      <c r="J245" s="3" t="inlineStr">
        <is>
          <t>届け出をしておらず、検討もしていない</t>
        </is>
      </c>
      <c r="K245" s="3" t="inlineStr">
        <is>
          <t>関節可動域運動, 筋力増強運動, リラクセーション, ポジショニング, 離床（例：車椅子移乗,立位,歩行など）</t>
        </is>
      </c>
      <c r="L245" s="3" t="inlineStr">
        <is>
          <t>全症例の25％〜49％程度</t>
        </is>
      </c>
      <c r="N245" s="3" t="inlineStr">
        <is>
          <t>全症例の0％〜24％程度</t>
        </is>
      </c>
      <c r="P245" s="3" t="inlineStr">
        <is>
          <t>全症例の0％〜24％程度</t>
        </is>
      </c>
      <c r="R245" s="3" t="inlineStr">
        <is>
          <t>全症例の0％〜24％程度</t>
        </is>
      </c>
      <c r="T245" s="3" t="inlineStr">
        <is>
          <t>握力, 膝伸展筋力</t>
        </is>
      </c>
      <c r="V245" s="3" t="inlineStr">
        <is>
          <t>認知機能, 握力</t>
        </is>
      </c>
      <c r="X245" s="3" t="inlineStr">
        <is>
          <t>立ち上がりテスト</t>
        </is>
      </c>
      <c r="Z245" s="3" t="inlineStr">
        <is>
          <t>Barthel Index（BI）, FIM</t>
        </is>
      </c>
      <c r="AB245" s="3" t="inlineStr">
        <is>
          <t>HDS-R</t>
        </is>
      </c>
      <c r="AD245" s="3" t="inlineStr">
        <is>
          <t>過去の転倒歴</t>
        </is>
      </c>
      <c r="AF245" s="3" t="inlineStr">
        <is>
          <t>決まっていない</t>
        </is>
      </c>
      <c r="AH245" s="3" t="inlineStr">
        <is>
          <t>マニュアルが整備されていない</t>
        </is>
      </c>
      <c r="AI245" s="3" t="inlineStr">
        <is>
          <t>下肢筋力強化, バランス練習, 歩行練習, 歩容改善, 起立、着座動作練習, 補助具、装具の適正化</t>
        </is>
      </c>
    </row>
    <row r="246" ht="22.5" customHeight="1">
      <c r="A246" s="32" t="n">
        <v>46107.57240318287</v>
      </c>
      <c r="B246" s="3" t="inlineStr">
        <is>
          <t>炭谷　直哉</t>
        </is>
      </c>
      <c r="C246" s="3" t="inlineStr">
        <is>
          <t>赤穂市民病院</t>
        </is>
      </c>
      <c r="D246" s="3" t="inlineStr">
        <is>
          <t>兵庫県</t>
        </is>
      </c>
      <c r="E246" s="3" t="inlineStr">
        <is>
          <t>hp_iryo@city.ako.lg.jp</t>
        </is>
      </c>
      <c r="F246" s="3" t="inlineStr">
        <is>
          <t>リハビリテーション部／作業療法士</t>
        </is>
      </c>
      <c r="G246" s="3" t="n">
        <v>100</v>
      </c>
      <c r="H246" s="3" t="n">
        <v>13</v>
      </c>
      <c r="I246" s="3" t="n">
        <v>13</v>
      </c>
      <c r="J246" s="3" t="inlineStr">
        <is>
          <t>届け出はしていないが、現在検討中である</t>
        </is>
      </c>
      <c r="K246" s="3" t="inlineStr">
        <is>
          <t>関節可動域運動, 筋力増強運動, 呼吸リハビリテーション, リラクセーション, ポジショニング, 自主運動指導, 術後リハビリテーションのオリエンテーション</t>
        </is>
      </c>
      <c r="L246" s="3" t="inlineStr">
        <is>
          <t>全症例の0％〜24％程度</t>
        </is>
      </c>
      <c r="N246" s="3" t="inlineStr">
        <is>
          <t>全症例の0％〜24％程度</t>
        </is>
      </c>
      <c r="P246" s="3" t="inlineStr">
        <is>
          <t>全症例の0％〜24％程度</t>
        </is>
      </c>
      <c r="R246" s="3" t="inlineStr">
        <is>
          <t>全症例の0％〜24％程度</t>
        </is>
      </c>
      <c r="T246" s="3" t="inlineStr">
        <is>
          <t>膝伸展筋力, 5回椅子立ち上がりテスト, 歩行速度, SPPB, TUG, 開眼片脚立位時間, 下腿周径</t>
        </is>
      </c>
      <c r="V246" s="3" t="inlineStr">
        <is>
          <t>TUG, 握力</t>
        </is>
      </c>
      <c r="X246" s="3" t="inlineStr">
        <is>
          <t>立ち上がりテスト</t>
        </is>
      </c>
      <c r="Z246" s="3" t="inlineStr">
        <is>
          <t>Barthel Index（BI）</t>
        </is>
      </c>
      <c r="AB246" s="3" t="inlineStr">
        <is>
          <t>MMSE, HDS-R</t>
        </is>
      </c>
      <c r="AD246" s="3" t="inlineStr">
        <is>
          <t>定量的な下肢筋力測定, TUG, 10m歩行速度, Berg Balance Scale（BBS）, SPPB、Functional Reach Test（FRT）, 5回椅子立ち上がりテスト, 過去の転倒歴, ベッド周囲および病室環境</t>
        </is>
      </c>
      <c r="AF246" s="3" t="inlineStr">
        <is>
          <t>決まっていない</t>
        </is>
      </c>
      <c r="AH246" s="3" t="inlineStr">
        <is>
          <t>担当療法士に任されており、時期は決まっていない</t>
        </is>
      </c>
      <c r="AI246" s="3" t="inlineStr">
        <is>
          <t>下肢筋力強化, バランス練習, 歩行練習, 歩容改善, 起立、着座動作練習, 環境調整, 補助具、装具の適正化, 認知面への介入, 教育、指導</t>
        </is>
      </c>
    </row>
    <row r="247" ht="22.5" customHeight="1">
      <c r="A247" s="32" t="n">
        <v>46107.59338085648</v>
      </c>
      <c r="B247" s="3" t="inlineStr">
        <is>
          <t>熊谷　陽造</t>
        </is>
      </c>
      <c r="C247" s="3" t="inlineStr">
        <is>
          <t>公立神崎総合病院</t>
        </is>
      </c>
      <c r="D247" s="3" t="inlineStr">
        <is>
          <t>兵庫県</t>
        </is>
      </c>
      <c r="E247" s="3" t="inlineStr">
        <is>
          <t>y-kumagae@kanzaki-hp.jp</t>
        </is>
      </c>
      <c r="F247" s="3" t="inlineStr">
        <is>
          <t>リハビリテーション技術科/理学療法士</t>
        </is>
      </c>
      <c r="G247" s="3" t="n">
        <v>70</v>
      </c>
      <c r="H247" s="3" t="n">
        <v>10</v>
      </c>
      <c r="I247" s="3" t="n">
        <v>6</v>
      </c>
      <c r="J247" s="3" t="inlineStr">
        <is>
          <t>届け出はしていないが、現在検討中である</t>
        </is>
      </c>
      <c r="K247" s="3" t="inlineStr">
        <is>
          <t>関節可動域運動, 筋力増強運動, 呼吸リハビリテーション, DVT予防, リラクセーション, ポジショニング, 自主運動指導, 術後リハビリテーションのオリエンテーション</t>
        </is>
      </c>
      <c r="L247" s="3" t="inlineStr">
        <is>
          <t>全症例の25％〜49％程度</t>
        </is>
      </c>
      <c r="N247" s="3" t="inlineStr">
        <is>
          <t>全症例の25％〜49％程度</t>
        </is>
      </c>
      <c r="P247" s="3" t="inlineStr">
        <is>
          <t>全症例の25％〜49％程度</t>
        </is>
      </c>
      <c r="R247" s="3" t="inlineStr">
        <is>
          <t>全症例の0％〜24％程度</t>
        </is>
      </c>
      <c r="T247" s="3" t="inlineStr">
        <is>
          <t>握力, 5回椅子立ち上がりテスト, 歩行速度, SPPB, TUG, 下腿周径</t>
        </is>
      </c>
      <c r="V247" s="3" t="inlineStr">
        <is>
          <t>Frailty Index（累積欠損モデル）, TUG, 認知機能, 握力</t>
        </is>
      </c>
      <c r="X247" s="3" t="inlineStr">
        <is>
          <t>実施していない</t>
        </is>
      </c>
      <c r="Y247" s="3" t="inlineStr">
        <is>
          <t>フレイル・サルコペニアの評価を行っている。</t>
        </is>
      </c>
      <c r="Z247" s="3" t="inlineStr">
        <is>
          <t>Barthel Index（BI）, FIM</t>
        </is>
      </c>
      <c r="AB247" s="3" t="inlineStr">
        <is>
          <t>MMSE, HDS-R</t>
        </is>
      </c>
      <c r="AD247" s="3" t="inlineStr">
        <is>
          <t>定量的な下肢筋力測定, 開眼片脚立位時間, TUG, 10m歩行速度, Berg Balance Scale（BBS）, SPPB、Functional Reach Test（FRT）, 5回椅子立ち上がりテスト, 深部感覚評価, 認知機能, 注意障害, 遂行機能, せん妄, 転倒恐怖感, 過去の転倒歴, 既往疾患の有無（脳血管疾患、パーキンソン病など）, 薬剤（向精神薬、降圧薬、利尿薬、ポリファーマシーなど）, ベッド周囲および病室環境</t>
        </is>
      </c>
      <c r="AF247" s="3" t="inlineStr">
        <is>
          <t>決まっている</t>
        </is>
      </c>
      <c r="AG247" s="3" t="inlineStr">
        <is>
          <t>術後1日目</t>
        </is>
      </c>
      <c r="AI247" s="3" t="inlineStr">
        <is>
          <t>下肢筋力強化, バランス練習, 歩行練習, 歩容改善, 起立、着座動作練習, 環境調整, 補助具、装具の適正化, 認知面への介入, 行動面への介入, 薬剤調整, 教育、指導</t>
        </is>
      </c>
    </row>
    <row r="248" ht="22.5" customHeight="1">
      <c r="A248" s="32" t="n">
        <v>46107.60938682871</v>
      </c>
      <c r="B248" s="3" t="inlineStr">
        <is>
          <t>鷲見　義和</t>
        </is>
      </c>
      <c r="C248" s="3" t="inlineStr">
        <is>
          <t>名寄市立総合病院</t>
        </is>
      </c>
      <c r="D248" s="3" t="inlineStr">
        <is>
          <t>北海道</t>
        </is>
      </c>
      <c r="E248" s="3" t="inlineStr">
        <is>
          <t>reha@nayoroch.jp</t>
        </is>
      </c>
      <c r="F248" s="3" t="inlineStr">
        <is>
          <t>リハビリテーション科/理学療法士</t>
        </is>
      </c>
      <c r="G248" s="3" t="n">
        <v>124</v>
      </c>
      <c r="H248" s="3" t="n">
        <v>8</v>
      </c>
      <c r="I248" s="3" t="n">
        <v>6</v>
      </c>
      <c r="J248" s="3" t="inlineStr">
        <is>
          <t>届け出をしておらず、検討もしていない</t>
        </is>
      </c>
      <c r="K248" s="3" t="inlineStr">
        <is>
          <t>関節可動域運動, 筋力増強運動, 自主運動指導, 離床（例：車椅子移乗,立位,歩行など）</t>
        </is>
      </c>
      <c r="L248" s="3" t="inlineStr">
        <is>
          <t>全症例の50％〜74％程度</t>
        </is>
      </c>
      <c r="M248" s="3" t="inlineStr">
        <is>
          <t>手術前下肢モビライゼーション　ストレッチ　端座位での足底接地など</t>
        </is>
      </c>
      <c r="N248" s="3" t="inlineStr">
        <is>
          <t>全症例の25％〜49％程度</t>
        </is>
      </c>
      <c r="P248" s="3" t="inlineStr">
        <is>
          <t>全症例の25％〜49％程度</t>
        </is>
      </c>
      <c r="R248" s="3" t="inlineStr">
        <is>
          <t>全症例の25％〜49％程度</t>
        </is>
      </c>
      <c r="T248" s="3" t="inlineStr">
        <is>
          <t>握力, 歩行速度, 下腿周径</t>
        </is>
      </c>
      <c r="V248" s="3" t="inlineStr">
        <is>
          <t>認知機能, 握力</t>
        </is>
      </c>
      <c r="X248" s="3" t="inlineStr">
        <is>
          <t>実施していない</t>
        </is>
      </c>
      <c r="Y248" s="3" t="inlineStr">
        <is>
          <t>評価項目が多くなり　大変であるため</t>
        </is>
      </c>
      <c r="Z248" s="3" t="inlineStr">
        <is>
          <t>Barthel Index（BI）</t>
        </is>
      </c>
      <c r="AB248" s="3" t="inlineStr">
        <is>
          <t>AMTS</t>
        </is>
      </c>
      <c r="AD248" s="3" t="inlineStr">
        <is>
          <t>認知機能, 6m歩行速度</t>
        </is>
      </c>
      <c r="AF248" s="3" t="inlineStr">
        <is>
          <t>決まっている</t>
        </is>
      </c>
      <c r="AG248" s="3" t="inlineStr">
        <is>
          <t>7日以内</t>
        </is>
      </c>
      <c r="AI248" s="3" t="inlineStr">
        <is>
          <t>下肢筋力強化, バランス練習, 歩行練習, 歩容改善, 起立、着座動作練習</t>
        </is>
      </c>
    </row>
    <row r="249" ht="22.5" customHeight="1">
      <c r="A249" s="32" t="n">
        <v>46107.66641671296</v>
      </c>
      <c r="B249" s="3" t="inlineStr">
        <is>
          <t>門脇　理貴</t>
        </is>
      </c>
      <c r="C249" s="3" t="inlineStr">
        <is>
          <t>社会医療法人三栄会　ツカザキ病院</t>
        </is>
      </c>
      <c r="D249" s="3" t="inlineStr">
        <is>
          <t>兵庫県</t>
        </is>
      </c>
      <c r="E249" s="3" t="inlineStr">
        <is>
          <t>y-kadowaki@saneikai-hp.jp</t>
        </is>
      </c>
      <c r="F249" s="3" t="inlineStr">
        <is>
          <t>リハビリテーション科/理学療法士</t>
        </is>
      </c>
      <c r="G249" s="3" t="n">
        <v>244</v>
      </c>
      <c r="H249" s="3" t="n">
        <v>12</v>
      </c>
      <c r="I249" s="3" t="n">
        <v>9</v>
      </c>
      <c r="J249" s="3" t="inlineStr">
        <is>
          <t>現在、算定している</t>
        </is>
      </c>
      <c r="K249" s="3" t="inlineStr">
        <is>
          <t>関節可動域運動, 筋力増強運動, DVT予防, リラクセーション, ポジショニング, 自主運動指導, 術後リハビリテーションのオリエンテーション</t>
        </is>
      </c>
      <c r="L249" s="3" t="inlineStr">
        <is>
          <t>全症例の25％〜49％程度</t>
        </is>
      </c>
      <c r="N249" s="3" t="inlineStr">
        <is>
          <t>全症例の50％〜74％程度</t>
        </is>
      </c>
      <c r="O249" s="3" t="inlineStr">
        <is>
          <t>術後せん妄を発症しないよう、術前から看護師と協同してリスク評価を行い、環境設定や心理サポートを行っている。</t>
        </is>
      </c>
      <c r="P249" s="3" t="inlineStr">
        <is>
          <t>全症例の0％〜24％程度</t>
        </is>
      </c>
      <c r="R249" s="3" t="inlineStr">
        <is>
          <t>全症例の0％〜24％程度</t>
        </is>
      </c>
      <c r="T249" s="3" t="inlineStr">
        <is>
          <t>握力, 膝伸展筋力, 歩行速度</t>
        </is>
      </c>
      <c r="V249" s="3" t="inlineStr">
        <is>
          <t>認知機能</t>
        </is>
      </c>
      <c r="X249" s="3" t="inlineStr">
        <is>
          <t>実施していない</t>
        </is>
      </c>
      <c r="Y249" s="3" t="inlineStr">
        <is>
          <t>身体機能、ADLの個別評価中心に実施しており、評価項目が増加することからスクリーニング評価は実施していない。</t>
        </is>
      </c>
      <c r="Z249" s="3" t="inlineStr">
        <is>
          <t>Barthel Index（BI）, FIM</t>
        </is>
      </c>
      <c r="AB249" s="3" t="inlineStr">
        <is>
          <t>MMSE, HDS-R, AMTS</t>
        </is>
      </c>
      <c r="AD249" s="3" t="inlineStr">
        <is>
          <t>定量的な下肢筋力測定, 10m歩行速度, 認知機能, 過去の転倒歴, 既往疾患の有無（脳血管疾患、パーキンソン病など）, ベッド周囲および病室環境</t>
        </is>
      </c>
      <c r="AF249" s="3" t="inlineStr">
        <is>
          <t>決まっている</t>
        </is>
      </c>
      <c r="AG249" s="3" t="inlineStr">
        <is>
          <t>認知機能評価は術後４日目、運動機能は術後1週、2週と1週ごとに評価している。</t>
        </is>
      </c>
      <c r="AI249" s="3" t="inlineStr">
        <is>
          <t>下肢筋力強化, バランス練習, 歩行練習, 歩容改善, 起立、着座動作練習, 環境調整, 補助具、装具の適正化, 認知面への介入, 行動面への介入, 教育、指導</t>
        </is>
      </c>
    </row>
    <row r="250" ht="22.5" customHeight="1">
      <c r="A250" s="32" t="n">
        <v>46107.68401334491</v>
      </c>
      <c r="B250" s="3" t="inlineStr">
        <is>
          <t>笠原　宏子</t>
        </is>
      </c>
      <c r="C250" s="3" t="inlineStr">
        <is>
          <t>千葉労災病院</t>
        </is>
      </c>
      <c r="D250" s="3" t="inlineStr">
        <is>
          <t>千葉県</t>
        </is>
      </c>
      <c r="E250" s="3" t="inlineStr">
        <is>
          <t>rehabilitationka@chibah.johas.go.jp</t>
        </is>
      </c>
      <c r="F250" s="3" t="inlineStr">
        <is>
          <t>中央リハビリテーション部／理学療法士</t>
        </is>
      </c>
      <c r="G250" s="3" t="n">
        <v>119</v>
      </c>
      <c r="H250" s="3" t="n">
        <v>10</v>
      </c>
      <c r="I250" s="3" t="n">
        <v>7</v>
      </c>
      <c r="J250" s="3" t="inlineStr">
        <is>
          <t>届け出をしておらず、検討もしていない</t>
        </is>
      </c>
      <c r="K250" s="3" t="inlineStr">
        <is>
          <t>関節可動域運動, 筋力増強運動, DVT予防, ポジショニング, 術後リハビリテーションのオリエンテーション</t>
        </is>
      </c>
      <c r="L250" s="3" t="inlineStr">
        <is>
          <t>全症例の0％〜24％程度</t>
        </is>
      </c>
      <c r="N250" s="3" t="inlineStr">
        <is>
          <t>全症例の0％〜24％程度</t>
        </is>
      </c>
      <c r="P250" s="3" t="inlineStr">
        <is>
          <t>全症例の0％〜24％程度</t>
        </is>
      </c>
      <c r="R250" s="3" t="inlineStr">
        <is>
          <t>全症例の0％〜24％程度</t>
        </is>
      </c>
      <c r="T250" s="3" t="inlineStr">
        <is>
          <t>実施していない</t>
        </is>
      </c>
      <c r="U250" s="3" t="inlineStr">
        <is>
          <t>一般的な評価は実施しているがサルコペニアの評価としては実施していない。</t>
        </is>
      </c>
      <c r="V250" s="3" t="inlineStr">
        <is>
          <t>実施していない</t>
        </is>
      </c>
      <c r="W250" s="3" t="inlineStr">
        <is>
          <t>一般的な評価は実施しているがフレイルの評価としては実施していない。</t>
        </is>
      </c>
      <c r="X250" s="3" t="inlineStr">
        <is>
          <t>実施していない</t>
        </is>
      </c>
      <c r="Y250" s="3" t="inlineStr">
        <is>
          <t>一般的な評価は実施しているがロコモティブシンドロームの評価としては実施していない。</t>
        </is>
      </c>
      <c r="Z250" s="3" t="inlineStr">
        <is>
          <t>Barthel Index（BI）, FIM</t>
        </is>
      </c>
      <c r="AB250" s="3" t="inlineStr">
        <is>
          <t>HDS-R</t>
        </is>
      </c>
      <c r="AD250" s="3" t="inlineStr">
        <is>
          <t>実施していない</t>
        </is>
      </c>
      <c r="AE250" s="3" t="inlineStr">
        <is>
          <t>それぞれが必要に応じた評価を実施しており定められたものはない。</t>
        </is>
      </c>
      <c r="AI250" s="3" t="inlineStr">
        <is>
          <t>下肢筋力強化, バランス練習, 歩行練習, 歩容改善, 起立、着座動作練習, 環境調整, 補助具、装具の適正化, 認知面への介入, 教育、指導</t>
        </is>
      </c>
    </row>
    <row r="251" ht="22.5" customHeight="1">
      <c r="A251" s="32" t="n">
        <v>46107.71524329861</v>
      </c>
      <c r="B251" s="3" t="inlineStr">
        <is>
          <t>中野博介</t>
        </is>
      </c>
      <c r="C251" s="3" t="inlineStr">
        <is>
          <t>高木病院</t>
        </is>
      </c>
      <c r="D251" s="3" t="inlineStr">
        <is>
          <t>東京都</t>
        </is>
      </c>
      <c r="E251" s="3" t="inlineStr">
        <is>
          <t>ichibanninaritaibymirei@gmail.com</t>
        </is>
      </c>
      <c r="F251" s="3" t="inlineStr">
        <is>
          <t>リハビリテーション科／理学療法士</t>
        </is>
      </c>
      <c r="G251" s="3" t="n">
        <v>255</v>
      </c>
      <c r="H251" s="3" t="n">
        <v>19</v>
      </c>
      <c r="I251" s="3" t="n">
        <v>9</v>
      </c>
      <c r="J251" s="3" t="inlineStr">
        <is>
          <t>届け出はしていないが、現在検討中である</t>
        </is>
      </c>
      <c r="K251" s="3" t="inlineStr">
        <is>
          <t>関節可動域運動, 筋力増強運動, 呼吸リハビリテーション, DVT予防, ポジショニング, 自主運動指導, 術後リハビリテーションのオリエンテーション</t>
        </is>
      </c>
      <c r="L251" s="3" t="inlineStr">
        <is>
          <t>全症例の75％〜100％程度</t>
        </is>
      </c>
      <c r="M251" s="3" t="inlineStr">
        <is>
          <t>痛みが強い症例は坐薬を検討</t>
        </is>
      </c>
      <c r="N251" s="3" t="inlineStr">
        <is>
          <t>全症例の0％〜24％程度</t>
        </is>
      </c>
      <c r="P251" s="3" t="inlineStr">
        <is>
          <t>全症例の0％〜24％程度</t>
        </is>
      </c>
      <c r="R251" s="3" t="inlineStr">
        <is>
          <t>全症例の0％〜24％程度</t>
        </is>
      </c>
      <c r="T251" s="3" t="inlineStr">
        <is>
          <t>実施していない</t>
        </is>
      </c>
      <c r="U251" s="3" t="inlineStr">
        <is>
          <t>サルコペニアの評価は実施していないため</t>
        </is>
      </c>
      <c r="V251" s="3" t="inlineStr">
        <is>
          <t>実施していない</t>
        </is>
      </c>
      <c r="W251" s="3" t="inlineStr">
        <is>
          <t>フレイルの評価は実施していないため</t>
        </is>
      </c>
      <c r="X251" s="3" t="inlineStr">
        <is>
          <t>実施していない</t>
        </is>
      </c>
      <c r="Y251" s="3" t="inlineStr">
        <is>
          <t>ロコモティブシンドロームの評価は実施していないため</t>
        </is>
      </c>
      <c r="Z251" s="3" t="inlineStr">
        <is>
          <t>FIM</t>
        </is>
      </c>
      <c r="AB251" s="3" t="inlineStr">
        <is>
          <t>AMTS</t>
        </is>
      </c>
      <c r="AD251" s="3" t="inlineStr">
        <is>
          <t>開眼片脚立位時間, TUG, 認知機能, 過去の転倒歴</t>
        </is>
      </c>
      <c r="AF251" s="3" t="inlineStr">
        <is>
          <t>決まっている</t>
        </is>
      </c>
      <c r="AG251" s="3" t="inlineStr">
        <is>
          <t>退院前日に評価　術後2〜3週程度</t>
        </is>
      </c>
      <c r="AI251" s="3" t="inlineStr">
        <is>
          <t>下肢筋力強化, バランス練習, 歩行練習, 歩容改善, 環境調整, 補助具、装具の適正化, 認知面への介入, 行動面への介入, 教育、指導</t>
        </is>
      </c>
    </row>
    <row r="252" ht="22.5" customHeight="1">
      <c r="A252" s="32" t="n">
        <v>46107.74305033564</v>
      </c>
      <c r="B252" s="3" t="inlineStr">
        <is>
          <t>髙山　千夏</t>
        </is>
      </c>
      <c r="C252" s="3" t="inlineStr">
        <is>
          <t>長野赤十字病院</t>
        </is>
      </c>
      <c r="D252" s="3" t="inlineStr">
        <is>
          <t>長野県</t>
        </is>
      </c>
      <c r="E252" s="3" t="inlineStr">
        <is>
          <t>reha.nagano.med.jrc@gmail.com</t>
        </is>
      </c>
      <c r="F252" s="3" t="inlineStr">
        <is>
          <t>リハビリテーション科/理学療法士</t>
        </is>
      </c>
      <c r="G252" s="3" t="n">
        <v>221</v>
      </c>
      <c r="H252" s="3" t="n">
        <v>10</v>
      </c>
      <c r="I252" s="3" t="n">
        <v>0</v>
      </c>
      <c r="J252" s="3" t="inlineStr">
        <is>
          <t>届け出をしておらず、検討もしていない</t>
        </is>
      </c>
      <c r="K252" s="3" t="inlineStr">
        <is>
          <t>実施していない</t>
        </is>
      </c>
      <c r="L252" s="3" t="inlineStr">
        <is>
          <t>全症例の75％〜100％程度</t>
        </is>
      </c>
      <c r="N252" s="3" t="inlineStr">
        <is>
          <t>全症例の0％〜24％程度</t>
        </is>
      </c>
      <c r="P252" s="3" t="inlineStr">
        <is>
          <t>全症例の0％〜24％程度</t>
        </is>
      </c>
      <c r="R252" s="3" t="inlineStr">
        <is>
          <t>全症例の0％〜24％程度</t>
        </is>
      </c>
      <c r="T252" s="3" t="inlineStr">
        <is>
          <t>実施していない</t>
        </is>
      </c>
      <c r="V252" s="3" t="inlineStr">
        <is>
          <t>実施していない</t>
        </is>
      </c>
      <c r="X252" s="3" t="inlineStr">
        <is>
          <t>実施していない</t>
        </is>
      </c>
      <c r="Z252" s="3" t="inlineStr">
        <is>
          <t>Barthel Index（BI）, FIM</t>
        </is>
      </c>
      <c r="AB252" s="3" t="inlineStr">
        <is>
          <t>MMSE, HDS-R, AMTS</t>
        </is>
      </c>
      <c r="AD252" s="3" t="inlineStr">
        <is>
          <t>認知機能, 過去の転倒歴</t>
        </is>
      </c>
      <c r="AF252" s="3" t="inlineStr">
        <is>
          <t>決まっていない</t>
        </is>
      </c>
      <c r="AI252" s="3" t="inlineStr">
        <is>
          <t>下肢筋力強化, 歩行練習, 起立、着座動作練習, 環境調整, 教育、指導</t>
        </is>
      </c>
    </row>
    <row r="253" ht="22.5" customHeight="1">
      <c r="A253" s="32" t="n">
        <v>46107.77028216435</v>
      </c>
      <c r="B253" s="3" t="inlineStr">
        <is>
          <t>奥村拓也</t>
        </is>
      </c>
      <c r="C253" s="3" t="inlineStr">
        <is>
          <t>光仁会　木島病院</t>
        </is>
      </c>
      <c r="D253" s="3" t="inlineStr">
        <is>
          <t>石川県</t>
        </is>
      </c>
      <c r="E253" s="3" t="inlineStr">
        <is>
          <t>hiramatsu@kijima-hp.or.jp</t>
        </is>
      </c>
      <c r="F253" s="3" t="inlineStr">
        <is>
          <t>リハビリテーション科/理学療法士</t>
        </is>
      </c>
      <c r="G253" s="3" t="n">
        <v>61</v>
      </c>
      <c r="H253" s="3" t="n">
        <v>16</v>
      </c>
      <c r="I253" s="3" t="n">
        <v>4</v>
      </c>
      <c r="J253" s="3" t="inlineStr">
        <is>
          <t>届け出をしておらず、検討もしていない</t>
        </is>
      </c>
      <c r="K253" s="3" t="inlineStr">
        <is>
          <t>関節可動域運動, 筋力増強運動, 自主運動指導, 離床（例：車椅子移乗,立位,歩行など）</t>
        </is>
      </c>
      <c r="L253" s="3" t="inlineStr">
        <is>
          <t>全症例の25％〜49％程度</t>
        </is>
      </c>
      <c r="N253" s="3" t="inlineStr">
        <is>
          <t>全症例の25％〜49％程度</t>
        </is>
      </c>
      <c r="P253" s="3" t="inlineStr">
        <is>
          <t>全症例の0％〜24％程度</t>
        </is>
      </c>
      <c r="R253" s="3" t="inlineStr">
        <is>
          <t>全症例の0％〜24％程度</t>
        </is>
      </c>
      <c r="T253" s="3" t="inlineStr">
        <is>
          <t>TUG, 開眼片脚立位時間, 下腿周径</t>
        </is>
      </c>
      <c r="V253" s="3" t="inlineStr">
        <is>
          <t>TUG</t>
        </is>
      </c>
      <c r="X253" s="3" t="inlineStr">
        <is>
          <t>実施していない</t>
        </is>
      </c>
      <c r="Z253" s="3" t="inlineStr">
        <is>
          <t>Barthel Index（BI）</t>
        </is>
      </c>
      <c r="AB253" s="3" t="inlineStr">
        <is>
          <t>AMTS</t>
        </is>
      </c>
      <c r="AD253" s="3" t="inlineStr">
        <is>
          <t>TUG, 10m歩行速度, Berg Balance Scale（BBS）</t>
        </is>
      </c>
      <c r="AF253" s="3" t="inlineStr">
        <is>
          <t>決まっていない</t>
        </is>
      </c>
      <c r="AH253" s="3" t="inlineStr">
        <is>
          <t>歩行補助具変更時に測定</t>
        </is>
      </c>
      <c r="AI253" s="3" t="inlineStr">
        <is>
          <t>下肢筋力強化, バランス練習, 歩行練習, 歩容改善, 起立、着座動作練習, 環境調整, 補助具、装具の適正化, 認知面への介入, 行動面への介入</t>
        </is>
      </c>
    </row>
    <row r="254" ht="22.5" customHeight="1">
      <c r="A254" s="32" t="n">
        <v>46107.77517799768</v>
      </c>
      <c r="B254" s="3" t="inlineStr">
        <is>
          <t>佐藤　圭子</t>
        </is>
      </c>
      <c r="C254" s="3" t="inlineStr">
        <is>
          <t>日本赤十字社　浜松赤十字病院</t>
        </is>
      </c>
      <c r="D254" s="3" t="inlineStr">
        <is>
          <t>静岡県</t>
        </is>
      </c>
      <c r="E254" s="3" t="inlineStr">
        <is>
          <t>rihabiri@hamamatsu.jrc.or.jp</t>
        </is>
      </c>
      <c r="F254" s="3" t="inlineStr">
        <is>
          <t>リハビリテーション課/作業療法士</t>
        </is>
      </c>
      <c r="G254" s="3" t="n">
        <v>224</v>
      </c>
      <c r="H254" s="3" t="n">
        <v>5</v>
      </c>
      <c r="I254" s="3" t="n">
        <v>2</v>
      </c>
      <c r="J254" s="3" t="inlineStr">
        <is>
          <t>届け出をしておらず、検討もしていない</t>
        </is>
      </c>
      <c r="K254" s="3" t="inlineStr">
        <is>
          <t>関節可動域運動, 筋力増強運動, DVT予防, リラクセーション, ポジショニング, 自主運動指導, 離床（例：車椅子移乗,立位,歩行など）</t>
        </is>
      </c>
      <c r="L254" s="3" t="inlineStr">
        <is>
          <t>全症例の25％〜49％程度</t>
        </is>
      </c>
      <c r="N254" s="3" t="inlineStr">
        <is>
          <t>全症例の25％〜49％程度</t>
        </is>
      </c>
      <c r="P254" s="3" t="inlineStr">
        <is>
          <t>全症例の0％〜24％程度</t>
        </is>
      </c>
      <c r="R254" s="3" t="inlineStr">
        <is>
          <t>全症例の0％〜24％程度</t>
        </is>
      </c>
      <c r="T254" s="3" t="inlineStr">
        <is>
          <t>膝伸展筋力</t>
        </is>
      </c>
      <c r="V254" s="3" t="inlineStr">
        <is>
          <t>TUG, 認知機能</t>
        </is>
      </c>
      <c r="X254" s="3" t="inlineStr">
        <is>
          <t>実施していない</t>
        </is>
      </c>
      <c r="Y254" s="3" t="inlineStr">
        <is>
          <t>ロコモティブシンドローム評価は難易度が高く、大腿骨近位部骨折の急性期患者では実施できる症例が少ないため、実施していません</t>
        </is>
      </c>
      <c r="Z254" s="3" t="inlineStr">
        <is>
          <t>Barthel Index（BI）</t>
        </is>
      </c>
      <c r="AB254" s="3" t="inlineStr">
        <is>
          <t>MMSE, HDS-R</t>
        </is>
      </c>
      <c r="AD254" s="3" t="inlineStr">
        <is>
          <t>認知機能</t>
        </is>
      </c>
      <c r="AF254" s="3" t="inlineStr">
        <is>
          <t>決まっている</t>
        </is>
      </c>
      <c r="AG254" s="3" t="inlineStr">
        <is>
          <t>術後４日以内</t>
        </is>
      </c>
      <c r="AI254" s="3" t="inlineStr">
        <is>
          <t>下肢筋力強化, バランス練習, 歩行練習, 歩容改善, 起立、着座動作練習, 環境調整, 補助具、装具の適正化, 認知面への介入</t>
        </is>
      </c>
    </row>
    <row r="255" ht="22.5" customHeight="1">
      <c r="A255" s="32" t="n">
        <v>46108.39442736111</v>
      </c>
      <c r="B255" s="3" t="inlineStr">
        <is>
          <t>永石　隼也</t>
        </is>
      </c>
      <c r="C255" s="3" t="inlineStr">
        <is>
          <t>唐津赤十字病院</t>
        </is>
      </c>
      <c r="D255" s="3" t="inlineStr">
        <is>
          <t>佐賀県</t>
        </is>
      </c>
      <c r="E255" s="3" t="inlineStr">
        <is>
          <t>karafls2022@gmail.com</t>
        </is>
      </c>
      <c r="F255" s="3" t="inlineStr">
        <is>
          <t>リハビリテーション技術課／理学療法士</t>
        </is>
      </c>
      <c r="G255" s="3" t="n">
        <v>121</v>
      </c>
      <c r="H255" s="3" t="n">
        <v>6</v>
      </c>
      <c r="I255" s="3" t="n">
        <v>0</v>
      </c>
      <c r="J255" s="3" t="inlineStr">
        <is>
          <t>届け出をしておらず、検討もしていない</t>
        </is>
      </c>
      <c r="K255" s="3" t="inlineStr">
        <is>
          <t>関節可動域運動, 筋力増強運動, 呼吸リハビリテーション, DVT予防, ポジショニング, 自主運動指導, 術後リハビリテーションのオリエンテーション</t>
        </is>
      </c>
      <c r="L255" s="3" t="inlineStr">
        <is>
          <t>全症例の50％〜74％程度</t>
        </is>
      </c>
      <c r="M255" s="3" t="inlineStr">
        <is>
          <t>鎮痛剤にて対応</t>
        </is>
      </c>
      <c r="N255" s="3" t="inlineStr">
        <is>
          <t>全症例の50％〜74％程度</t>
        </is>
      </c>
      <c r="O255" s="3" t="inlineStr">
        <is>
          <t>特になし</t>
        </is>
      </c>
      <c r="P255" s="3" t="inlineStr">
        <is>
          <t>全症例の25％〜49％程度</t>
        </is>
      </c>
      <c r="R255" s="3" t="inlineStr">
        <is>
          <t>全症例の0％〜24％程度</t>
        </is>
      </c>
      <c r="T255" s="3" t="inlineStr">
        <is>
          <t>実施していない</t>
        </is>
      </c>
      <c r="U255" s="3" t="inlineStr">
        <is>
          <t>認知症患者が半数以上を占めており、評価が難しいため。</t>
        </is>
      </c>
      <c r="V255" s="3" t="inlineStr">
        <is>
          <t>実施していない</t>
        </is>
      </c>
      <c r="W255" s="3" t="inlineStr">
        <is>
          <t>認知症患者が半数以上を占めており、評価が難しいため。</t>
        </is>
      </c>
      <c r="X255" s="3" t="inlineStr">
        <is>
          <t>実施していない</t>
        </is>
      </c>
      <c r="Y255" s="3" t="inlineStr">
        <is>
          <t>認知症患者が半数以上を占めており、評価が難しいため。</t>
        </is>
      </c>
      <c r="Z255" s="3" t="inlineStr">
        <is>
          <t>Barthel Index（BI）</t>
        </is>
      </c>
      <c r="AB255" s="3" t="inlineStr">
        <is>
          <t>MMSE</t>
        </is>
      </c>
      <c r="AD255" s="3" t="inlineStr">
        <is>
          <t>実施していない</t>
        </is>
      </c>
      <c r="AE255" s="3" t="inlineStr">
        <is>
          <t>認知症患者が半数以上を占めており、評価が難しいため。</t>
        </is>
      </c>
      <c r="AI255" s="3" t="inlineStr">
        <is>
          <t>下肢筋力強化, バランス練習, 歩行練習, 歩容改善, 起立、着座動作練習, 環境調整, 補助具、装具の適正化</t>
        </is>
      </c>
    </row>
    <row r="256" ht="22.5" customHeight="1">
      <c r="A256" s="32" t="n">
        <v>46108.43782519676</v>
      </c>
      <c r="B256" s="3" t="inlineStr">
        <is>
          <t>関戸　勇介</t>
        </is>
      </c>
      <c r="C256" s="3" t="inlineStr">
        <is>
          <t>大和市立病院</t>
        </is>
      </c>
      <c r="D256" s="3" t="inlineStr">
        <is>
          <t>神奈川県</t>
        </is>
      </c>
      <c r="E256" s="3" t="inlineStr">
        <is>
          <t>htius-7-y@live.jp</t>
        </is>
      </c>
      <c r="F256" s="3" t="inlineStr">
        <is>
          <t>リハビリテーション療法科/作業療法士</t>
        </is>
      </c>
      <c r="G256" s="3" t="n">
        <v>102</v>
      </c>
      <c r="H256" s="3" t="n">
        <v>10.5</v>
      </c>
      <c r="I256" s="3" t="n">
        <v>0</v>
      </c>
      <c r="J256" s="3" t="inlineStr">
        <is>
          <t>届け出をしておらず、検討もしていない</t>
        </is>
      </c>
      <c r="K256" s="3" t="inlineStr">
        <is>
          <t>実施していない</t>
        </is>
      </c>
      <c r="L256" s="3" t="inlineStr">
        <is>
          <t>全症例の0％〜24％程度</t>
        </is>
      </c>
      <c r="N256" s="3" t="inlineStr">
        <is>
          <t>全症例の0％〜24％程度</t>
        </is>
      </c>
      <c r="P256" s="3" t="inlineStr">
        <is>
          <t>全症例の0％〜24％程度</t>
        </is>
      </c>
      <c r="R256" s="3" t="inlineStr">
        <is>
          <t>全症例の0％〜24％程度</t>
        </is>
      </c>
      <c r="T256" s="3" t="inlineStr">
        <is>
          <t>握力, 膝伸展筋力, 歩行速度, SPPB, TUG, 6分間歩行距離, 開眼片脚立位時間</t>
        </is>
      </c>
      <c r="V256" s="3" t="inlineStr">
        <is>
          <t>TUG, 6分間歩行距離, 認知機能, 抑うつや意欲低下, 握力</t>
        </is>
      </c>
      <c r="X256" s="3" t="inlineStr">
        <is>
          <t>実施していない</t>
        </is>
      </c>
      <c r="Y256" s="3" t="inlineStr">
        <is>
          <t>時間、単位数の都合にて</t>
        </is>
      </c>
      <c r="Z256" s="3" t="inlineStr">
        <is>
          <t>Barthel Index（BI）, FIM</t>
        </is>
      </c>
      <c r="AB256" s="3" t="inlineStr">
        <is>
          <t>HDS-R</t>
        </is>
      </c>
      <c r="AD256" s="3" t="inlineStr">
        <is>
          <t>実施していない</t>
        </is>
      </c>
      <c r="AE256" s="3" t="inlineStr">
        <is>
          <t>人員不足のため</t>
        </is>
      </c>
      <c r="AI256" s="3" t="inlineStr">
        <is>
          <t>下肢筋力強化, バランス練習, 歩行練習, 歩容改善, 起立、着座動作練習, 環境調整, 補助具、装具の適正化, 行動面への介入, 教育、指導</t>
        </is>
      </c>
    </row>
    <row r="257" ht="22.5" customHeight="1">
      <c r="A257" s="32" t="n">
        <v>46108.50053119213</v>
      </c>
      <c r="B257" s="3" t="inlineStr">
        <is>
          <t>成田　弦二</t>
        </is>
      </c>
      <c r="C257" s="3" t="inlineStr">
        <is>
          <t>留萌市立病院</t>
        </is>
      </c>
      <c r="D257" s="3" t="inlineStr">
        <is>
          <t>北海道</t>
        </is>
      </c>
      <c r="E257" s="3" t="inlineStr">
        <is>
          <t>reha@rumoi-hp.jp</t>
        </is>
      </c>
      <c r="F257" s="3" t="inlineStr">
        <is>
          <t>リハビリテーション科/理学療法士</t>
        </is>
      </c>
      <c r="G257" s="3" t="n">
        <v>85</v>
      </c>
      <c r="H257" s="3" t="n">
        <v>5</v>
      </c>
      <c r="I257" s="3" t="n">
        <v>4</v>
      </c>
      <c r="J257" s="3" t="inlineStr">
        <is>
          <t>届け出をしておらず、検討もしていない</t>
        </is>
      </c>
      <c r="K257" s="3" t="inlineStr">
        <is>
          <t>関節可動域運動, 筋力増強運動, ポジショニング, 自主運動指導, 術後リハビリテーションのオリエンテーション, 離床（例：車椅子移乗,立位,歩行など）</t>
        </is>
      </c>
      <c r="L257" s="3" t="inlineStr">
        <is>
          <t>全症例の25％〜49％程度</t>
        </is>
      </c>
      <c r="N257" s="3" t="inlineStr">
        <is>
          <t>全症例の0％〜24％程度</t>
        </is>
      </c>
      <c r="P257" s="3" t="inlineStr">
        <is>
          <t>全症例の0％〜24％程度</t>
        </is>
      </c>
      <c r="R257" s="3" t="inlineStr">
        <is>
          <t>全症例の0％〜24％程度</t>
        </is>
      </c>
      <c r="T257" s="3" t="inlineStr">
        <is>
          <t>握力, 膝伸展筋力, 歩行速度, TUG, 開眼片脚立位時間, 下腿周径</t>
        </is>
      </c>
      <c r="V257" s="3" t="inlineStr">
        <is>
          <t>TUG, 認知機能, 握力</t>
        </is>
      </c>
      <c r="X257" s="3" t="inlineStr">
        <is>
          <t>実施していない</t>
        </is>
      </c>
      <c r="Z257" s="3" t="inlineStr">
        <is>
          <t>Barthel Index（BI）, FIM</t>
        </is>
      </c>
      <c r="AB257" s="3" t="inlineStr">
        <is>
          <t>MMSE, HDS-R, MoCA</t>
        </is>
      </c>
      <c r="AD257" s="3" t="inlineStr">
        <is>
          <t>実施していない</t>
        </is>
      </c>
      <c r="AE257" s="3" t="inlineStr">
        <is>
          <t>「FLS活動」としての院内取り決めがないから</t>
        </is>
      </c>
      <c r="AI257" s="3" t="inlineStr">
        <is>
          <t>下肢筋力強化, バランス練習, 歩行練習, 歩容改善, 起立、着座動作練習, 環境調整, 補助具、装具の適正化, 認知面への介入, 行動面への介入, 教育、指導</t>
        </is>
      </c>
    </row>
    <row r="258" ht="22.5" customHeight="1">
      <c r="A258" s="32" t="n">
        <v>46108.68135131944</v>
      </c>
      <c r="B258" s="3" t="inlineStr">
        <is>
          <t>竹内悦子</t>
        </is>
      </c>
      <c r="C258" s="3" t="inlineStr">
        <is>
          <t>射水市民病院</t>
        </is>
      </c>
      <c r="D258" s="3" t="inlineStr">
        <is>
          <t>富山県</t>
        </is>
      </c>
      <c r="E258" s="3" t="inlineStr">
        <is>
          <t>rehabilitation@imizu-city-hosp.jp</t>
        </is>
      </c>
      <c r="F258" s="3" t="inlineStr">
        <is>
          <t>リハビリテーション科／理学療法士</t>
        </is>
      </c>
      <c r="G258" s="3" t="n">
        <v>110</v>
      </c>
      <c r="H258" s="3" t="n">
        <v>9</v>
      </c>
      <c r="I258" s="3" t="n">
        <v>0</v>
      </c>
      <c r="J258" s="3" t="inlineStr">
        <is>
          <t>届け出をしておらず、検討もしていない</t>
        </is>
      </c>
      <c r="K258" s="3" t="inlineStr">
        <is>
          <t>DVT予防, ポジショニング, 自主運動指導, 術後リハビリテーションのオリエンテーション</t>
        </is>
      </c>
      <c r="L258" s="3" t="inlineStr">
        <is>
          <t>全症例の0％〜24％程度</t>
        </is>
      </c>
      <c r="N258" s="3" t="inlineStr">
        <is>
          <t>全症例の0％〜24％程度</t>
        </is>
      </c>
      <c r="P258" s="3" t="inlineStr">
        <is>
          <t>全症例の0％〜24％程度</t>
        </is>
      </c>
      <c r="R258" s="3" t="inlineStr">
        <is>
          <t>全症例の0％〜24％程度</t>
        </is>
      </c>
      <c r="T258" s="3" t="inlineStr">
        <is>
          <t>握力, 膝伸展筋力, SPPB, 骨格筋量指数（SMI）, 四肢骨格筋量（ASM）, 下腿周径</t>
        </is>
      </c>
      <c r="V258" s="3" t="inlineStr">
        <is>
          <t>認知機能, 握力</t>
        </is>
      </c>
      <c r="X258" s="3" t="inlineStr">
        <is>
          <t>実施していない</t>
        </is>
      </c>
      <c r="Y258" s="3" t="inlineStr">
        <is>
          <t>サルコペニアの評価を行っているため。高齢で認知機能低下の方が多く実施が困難。
歩行補助具を使用される方がほとんどで2ステップテストが行えない。</t>
        </is>
      </c>
      <c r="Z258" s="3" t="inlineStr">
        <is>
          <t>Barthel Index（BI）</t>
        </is>
      </c>
      <c r="AB258" s="3" t="inlineStr">
        <is>
          <t>HDS-R</t>
        </is>
      </c>
      <c r="AD258" s="3" t="inlineStr">
        <is>
          <t>定量的な下肢筋力測定, SPPB、Functional Reach Test（FRT）, 認知機能, 過去の転倒歴, 既往疾患の有無（脳血管疾患、パーキンソン病など）, ベッド周囲および病室環境</t>
        </is>
      </c>
      <c r="AF258" s="3" t="inlineStr">
        <is>
          <t>決まっている</t>
        </is>
      </c>
      <c r="AG258" s="3" t="inlineStr">
        <is>
          <t>術前、術翌日、術後4週、退院時</t>
        </is>
      </c>
      <c r="AI258" s="3" t="inlineStr">
        <is>
          <t>下肢筋力強化, バランス練習, 歩行練習, 歩容改善, 起立、着座動作練習, 環境調整, 補助具、装具の適正化, 認知面への介入, 教育、指導</t>
        </is>
      </c>
    </row>
    <row r="259" ht="22.5" customHeight="1">
      <c r="A259" s="32" t="n">
        <v>46108.69066946759</v>
      </c>
      <c r="B259" s="3" t="inlineStr">
        <is>
          <t>小野　晶代</t>
        </is>
      </c>
      <c r="C259" s="3" t="inlineStr">
        <is>
          <t>岐阜清流病院</t>
        </is>
      </c>
      <c r="D259" s="3" t="inlineStr">
        <is>
          <t>岐阜県</t>
        </is>
      </c>
      <c r="E259" s="3" t="inlineStr">
        <is>
          <t>reha@skhosp.or.jp</t>
        </is>
      </c>
      <c r="F259" s="3" t="inlineStr">
        <is>
          <t>リハビリテーション療法課／理学療法士</t>
        </is>
      </c>
      <c r="G259" s="3" t="n">
        <v>145</v>
      </c>
      <c r="H259" s="3" t="n">
        <v>41</v>
      </c>
      <c r="I259" s="3" t="n">
        <v>16</v>
      </c>
      <c r="J259" s="3" t="inlineStr">
        <is>
          <t>届け出はしていないが、現在検討中である</t>
        </is>
      </c>
      <c r="K259" s="3" t="inlineStr">
        <is>
          <t>実施していない</t>
        </is>
      </c>
      <c r="L259" s="3" t="inlineStr">
        <is>
          <t>全症例の25％〜49％程度</t>
        </is>
      </c>
      <c r="N259" s="3" t="inlineStr">
        <is>
          <t>全症例の0％〜24％程度</t>
        </is>
      </c>
      <c r="P259" s="3" t="inlineStr">
        <is>
          <t>全症例の0％〜24％程度</t>
        </is>
      </c>
      <c r="R259" s="3" t="inlineStr">
        <is>
          <t>全症例の0％〜24％程度</t>
        </is>
      </c>
      <c r="T259" s="3" t="inlineStr">
        <is>
          <t>握力, 下腿周径</t>
        </is>
      </c>
      <c r="V259" s="3" t="inlineStr">
        <is>
          <t>認知機能, 握力</t>
        </is>
      </c>
      <c r="X259" s="3" t="inlineStr">
        <is>
          <t>実施していない</t>
        </is>
      </c>
      <c r="Y259" s="3" t="inlineStr">
        <is>
          <t>ロコモの評価項目が当院の定期評価項目に入っていないため</t>
        </is>
      </c>
      <c r="Z259" s="3" t="inlineStr">
        <is>
          <t>FIM</t>
        </is>
      </c>
      <c r="AB259" s="3" t="inlineStr">
        <is>
          <t>HDS-R</t>
        </is>
      </c>
      <c r="AD259" s="3" t="inlineStr">
        <is>
          <t>実施していない</t>
        </is>
      </c>
      <c r="AE259" s="3" t="inlineStr">
        <is>
          <t>ＦＬＳチームとして活動を行っていない為</t>
        </is>
      </c>
      <c r="AI259" s="3" t="inlineStr">
        <is>
          <t>下肢筋力強化, バランス練習, 歩行練習, 起立、着座動作練習, 環境調整, 認知面への介入</t>
        </is>
      </c>
    </row>
    <row r="260" ht="22.5" customHeight="1">
      <c r="A260" s="32" t="n">
        <v>46108.69759212963</v>
      </c>
      <c r="B260" s="3" t="inlineStr">
        <is>
          <t>秋山　茂雄</t>
        </is>
      </c>
      <c r="C260" s="3" t="inlineStr">
        <is>
          <t>厚生中央病院</t>
        </is>
      </c>
      <c r="D260" s="3" t="inlineStr">
        <is>
          <t>東京都</t>
        </is>
      </c>
      <c r="E260" s="3" t="inlineStr">
        <is>
          <t>reha1@kohseichuo.jp</t>
        </is>
      </c>
      <c r="F260" s="3" t="inlineStr">
        <is>
          <t>リハビリテーション科/理学療法士</t>
        </is>
      </c>
      <c r="G260" s="3" t="n">
        <v>107</v>
      </c>
      <c r="H260" s="3" t="n">
        <v>10</v>
      </c>
      <c r="I260" s="3" t="n">
        <v>3</v>
      </c>
      <c r="J260" s="3" t="inlineStr">
        <is>
          <t>届け出をしておらず、検討もしていない</t>
        </is>
      </c>
      <c r="K260" s="3" t="inlineStr">
        <is>
          <t>関節可動域運動, 筋力増強運動, 呼吸リハビリテーション, DVT予防, リラクセーション, ポジショニング, 自主運動指導, 術後リハビリテーションのオリエンテーション</t>
        </is>
      </c>
      <c r="L260" s="3" t="inlineStr">
        <is>
          <t>全症例の25％〜49％程度</t>
        </is>
      </c>
      <c r="N260" s="3" t="inlineStr">
        <is>
          <t>全症例の25％〜49％程度</t>
        </is>
      </c>
      <c r="P260" s="3" t="inlineStr">
        <is>
          <t>全症例の25％〜49％程度</t>
        </is>
      </c>
      <c r="R260" s="3" t="inlineStr">
        <is>
          <t>全症例の0％〜24％程度</t>
        </is>
      </c>
      <c r="T260" s="3" t="inlineStr">
        <is>
          <t>握力, 膝伸展筋力, 歩行速度, TUG, 6分間歩行距離, 開眼片脚立位時間, 下腿周径</t>
        </is>
      </c>
      <c r="V260" s="3" t="inlineStr">
        <is>
          <t>TUG, 6分間歩行距離, 認知機能, 握力</t>
        </is>
      </c>
      <c r="X260" s="3" t="inlineStr">
        <is>
          <t>実施していない</t>
        </is>
      </c>
      <c r="Z260" s="3" t="inlineStr">
        <is>
          <t>Barthel Index（BI）, FIM</t>
        </is>
      </c>
      <c r="AB260" s="3" t="inlineStr">
        <is>
          <t>MMSE, HDS-R</t>
        </is>
      </c>
      <c r="AD260" s="3" t="inlineStr">
        <is>
          <t>定量的な下肢筋力測定, 開眼片脚立位時間, TUG, 10m歩行速度, Berg Balance Scale（BBS）</t>
        </is>
      </c>
      <c r="AF260" s="3" t="inlineStr">
        <is>
          <t>わからない</t>
        </is>
      </c>
      <c r="AI260" s="3" t="inlineStr">
        <is>
          <t>下肢筋力強化, バランス練習, 歩行練習, 歩容改善, 起立、着座動作練習, 環境調整, 補助具、装具の適正化, 認知面への介入, 行動面への介入, 教育、指導</t>
        </is>
      </c>
    </row>
    <row r="261" ht="22.5" customHeight="1">
      <c r="A261" s="32" t="n">
        <v>46108.73083756944</v>
      </c>
      <c r="B261" s="3" t="inlineStr">
        <is>
          <t>田邉　拓哉</t>
        </is>
      </c>
      <c r="C261" s="3" t="inlineStr">
        <is>
          <t>白岡中央総合病院</t>
        </is>
      </c>
      <c r="D261" s="3" t="inlineStr">
        <is>
          <t>埼玉県</t>
        </is>
      </c>
      <c r="E261" s="3" t="inlineStr">
        <is>
          <t>shiraoka-rhpt@scghp.jp</t>
        </is>
      </c>
      <c r="F261" s="3" t="inlineStr">
        <is>
          <t>リハビリテーション技術科</t>
        </is>
      </c>
      <c r="G261" s="3" t="n">
        <v>124</v>
      </c>
      <c r="H261" s="3" t="n">
        <v>16</v>
      </c>
      <c r="I261" s="3" t="n">
        <v>4</v>
      </c>
      <c r="J261" s="3" t="inlineStr">
        <is>
          <t>現在、算定している</t>
        </is>
      </c>
      <c r="K261" s="3" t="inlineStr">
        <is>
          <t>関節可動域運動, 筋力増強運動, 呼吸リハビリテーション, DVT予防, リラクセーション, ポジショニング, 自主運動指導, 術後リハビリテーションのオリエンテーション, 離床（例：車椅子移乗,立位,歩行など）</t>
        </is>
      </c>
      <c r="L261" s="3" t="inlineStr">
        <is>
          <t>全症例の25％〜49％程度</t>
        </is>
      </c>
      <c r="N261" s="3" t="inlineStr">
        <is>
          <t>全症例の0％〜24％程度</t>
        </is>
      </c>
      <c r="P261" s="3" t="inlineStr">
        <is>
          <t>全症例の0％〜24％程度</t>
        </is>
      </c>
      <c r="R261" s="3" t="inlineStr">
        <is>
          <t>全症例の25％〜49％程度</t>
        </is>
      </c>
      <c r="T261" s="3" t="inlineStr">
        <is>
          <t>握力, 膝伸展筋力, TUG, 下腿周径</t>
        </is>
      </c>
      <c r="V261" s="3" t="inlineStr">
        <is>
          <t>TUG, 握力</t>
        </is>
      </c>
      <c r="X261" s="3" t="inlineStr">
        <is>
          <t>実施していない</t>
        </is>
      </c>
      <c r="Z261" s="3" t="inlineStr">
        <is>
          <t>Barthel Index（BI）</t>
        </is>
      </c>
      <c r="AB261" s="3" t="inlineStr">
        <is>
          <t>HDS-R</t>
        </is>
      </c>
      <c r="AD261" s="3" t="inlineStr">
        <is>
          <t>TUG, 過去の転倒歴, 既往疾患の有無（脳血管疾患、パーキンソン病など）, 薬剤（向精神薬、降圧薬、利尿薬、ポリファーマシーなど）, ベッド周囲および病室環境</t>
        </is>
      </c>
      <c r="AF261" s="3" t="inlineStr">
        <is>
          <t>決まっている</t>
        </is>
      </c>
      <c r="AG261" s="3" t="inlineStr">
        <is>
          <t>7.14日目</t>
        </is>
      </c>
      <c r="AI261" s="3" t="inlineStr">
        <is>
          <t>下肢筋力強化, バランス練習, 歩行練習, 歩容改善, 起立、着座動作練習, 環境調整, 補助具、装具の適正化, 認知面への介入, 行動面への介入, 薬剤調整, 教育、指導</t>
        </is>
      </c>
    </row>
    <row r="262" ht="22.5" customHeight="1">
      <c r="A262" s="32" t="n">
        <v>46108.78624967593</v>
      </c>
      <c r="B262" s="3" t="inlineStr">
        <is>
          <t>堀　悠樹</t>
        </is>
      </c>
      <c r="C262" s="3" t="inlineStr">
        <is>
          <t>千葉中央メディカルセンター</t>
        </is>
      </c>
      <c r="D262" s="3" t="inlineStr">
        <is>
          <t>千葉県</t>
        </is>
      </c>
      <c r="E262" s="3" t="inlineStr">
        <is>
          <t>rihabiri@ccmc.seikei-kai.or.jp</t>
        </is>
      </c>
      <c r="F262" s="3" t="inlineStr">
        <is>
          <t>リハビリテーション課／理学療法士</t>
        </is>
      </c>
      <c r="G262" s="3" t="n">
        <v>160</v>
      </c>
      <c r="H262" s="3" t="n">
        <v>34</v>
      </c>
      <c r="I262" s="3" t="n">
        <v>3</v>
      </c>
      <c r="J262" s="3" t="inlineStr">
        <is>
          <t>届け出はしていないが、現在検討中である</t>
        </is>
      </c>
      <c r="K262" s="3" t="inlineStr">
        <is>
          <t>関節可動域運動, 筋力増強運動, DVT予防, リラクセーション, ポジショニング, 自主運動指導, 術後リハビリテーションのオリエンテーション, 患者によって実施しないこともある</t>
        </is>
      </c>
      <c r="L262" s="3" t="inlineStr">
        <is>
          <t>全症例の25％〜49％程度</t>
        </is>
      </c>
      <c r="N262" s="3" t="inlineStr">
        <is>
          <t>全症例の0％〜24％程度</t>
        </is>
      </c>
      <c r="P262" s="3" t="inlineStr">
        <is>
          <t>全症例の0％〜24％程度</t>
        </is>
      </c>
      <c r="R262" s="3" t="inlineStr">
        <is>
          <t>全症例の0％〜24％程度</t>
        </is>
      </c>
      <c r="T262" s="3" t="inlineStr">
        <is>
          <t>膝伸展筋力, 歩行速度, SPPB, TUG, 開眼片脚立位時間, 患者によって実施しないこともある</t>
        </is>
      </c>
      <c r="V262" s="3" t="inlineStr">
        <is>
          <t>TUG, 認知機能, 患者によって実施しないこともある</t>
        </is>
      </c>
      <c r="X262" s="3" t="inlineStr">
        <is>
          <t>一般的な運動能力テスト実施、ロコモ特化した内容に限らない</t>
        </is>
      </c>
      <c r="Z262" s="3" t="inlineStr">
        <is>
          <t>Barthel Index（BI）, FIM</t>
        </is>
      </c>
      <c r="AB262" s="3" t="inlineStr">
        <is>
          <t>HDS-R, AMTS</t>
        </is>
      </c>
      <c r="AD262" s="3" t="inlineStr">
        <is>
          <t>認知機能, せん妄, 転倒恐怖感, 過去の転倒歴, 既往疾患の有無（脳血管疾患、パーキンソン病など）, 病院既定の転倒評価</t>
        </is>
      </c>
      <c r="AF262" s="3" t="inlineStr">
        <is>
          <t>決まっていない</t>
        </is>
      </c>
      <c r="AH262" s="3" t="inlineStr">
        <is>
          <t>活動の規模がまだ限定的であるため</t>
        </is>
      </c>
      <c r="AI262" s="3" t="inlineStr">
        <is>
          <t>下肢筋力強化, バランス練習, 歩行練習, 歩容改善, 起立、着座動作練習, 環境調整, 補助具、装具の適正化, 認知面への介入, 行動面への介入, 薬剤調整, 教育、指導</t>
        </is>
      </c>
    </row>
    <row r="263" ht="22.5" customHeight="1">
      <c r="A263" s="32" t="n">
        <v>46109.53988729166</v>
      </c>
      <c r="B263" s="3" t="inlineStr">
        <is>
          <t>加藤　潤</t>
        </is>
      </c>
      <c r="C263" s="3" t="inlineStr">
        <is>
          <t>医療法人社団三喜会　横浜新緑総合病院</t>
        </is>
      </c>
      <c r="D263" s="3" t="inlineStr">
        <is>
          <t>神奈川県</t>
        </is>
      </c>
      <c r="E263" s="3" t="inlineStr">
        <is>
          <t>j.katou@shinmidori.com</t>
        </is>
      </c>
      <c r="F263" s="3" t="inlineStr">
        <is>
          <t>リハビリテーション部　理学療法科/理学療法士</t>
        </is>
      </c>
      <c r="G263" s="3" t="n">
        <v>206</v>
      </c>
      <c r="H263" s="3" t="n">
        <v>6</v>
      </c>
      <c r="I263" s="3" t="n">
        <v>0</v>
      </c>
      <c r="J263" s="3" t="inlineStr">
        <is>
          <t>届け出はしていないが、現在検討中である</t>
        </is>
      </c>
      <c r="K263" s="3" t="inlineStr">
        <is>
          <t>DVT予防, ポジショニング, 自主運動指導, 術後リハビリテーションのオリエンテーション, 神経学的評価（特に腓骨神経）</t>
        </is>
      </c>
      <c r="L263" s="3" t="inlineStr">
        <is>
          <t>全症例の75％〜100％程度</t>
        </is>
      </c>
      <c r="M263" s="3" t="inlineStr">
        <is>
          <t>手術的侵襲による疼痛は、術部の炎症を考慮しながら物理療法を中心に対応している。基本的には、「日柄もの」で改善に合わせてADLを上げていく。疼痛改善までの期間は健側を中心としたADL動作の獲得を早期に目指している。</t>
        </is>
      </c>
      <c r="N263" s="3" t="inlineStr">
        <is>
          <t>全症例の25％〜49％程度</t>
        </is>
      </c>
      <c r="P263" s="3" t="inlineStr">
        <is>
          <t>全症例の0％〜24％程度</t>
        </is>
      </c>
      <c r="R263" s="3" t="inlineStr">
        <is>
          <t>全症例の25％〜49％程度</t>
        </is>
      </c>
      <c r="T263" s="3" t="inlineStr">
        <is>
          <t>膝伸展筋力, 下腿周径</t>
        </is>
      </c>
      <c r="V263" s="3" t="inlineStr">
        <is>
          <t>認知機能</t>
        </is>
      </c>
      <c r="X263" s="3" t="inlineStr">
        <is>
          <t>実施していない</t>
        </is>
      </c>
      <c r="Y263" s="3" t="inlineStr">
        <is>
          <t>術後疼痛が強い時期の入院期間中に、そこまでのテストをする必要性を感じていない。</t>
        </is>
      </c>
      <c r="Z263" s="3" t="inlineStr">
        <is>
          <t>Barthel Index（BI）</t>
        </is>
      </c>
      <c r="AB263" s="3" t="inlineStr">
        <is>
          <t>HDS-R, AMTS</t>
        </is>
      </c>
      <c r="AD263" s="3" t="inlineStr">
        <is>
          <t>深部感覚評価, 認知機能, せん妄, 過去の転倒歴, 既往疾患の有無（脳血管疾患、パーキンソン病など）, 薬剤（向精神薬、降圧薬、利尿薬、ポリファーマシーなど）, ベッド周囲および病室環境, Standing test for Imbalance and Disequilibirium （日本転倒予防学会）</t>
        </is>
      </c>
      <c r="AF263" s="3" t="inlineStr">
        <is>
          <t>決まっている</t>
        </is>
      </c>
      <c r="AG263" s="3" t="inlineStr">
        <is>
          <t>病棟内ADL設定を決定する時（ほぼ常時評価）</t>
        </is>
      </c>
      <c r="AI263" s="3" t="inlineStr">
        <is>
          <t>下肢筋力強化, バランス練習, 歩行練習, 歩容改善, 起立、着座動作練習, 環境調整, 補助具、装具の適正化, 認知面への介入, 行動面への介入, 薬剤調整, 教育、指導</t>
        </is>
      </c>
    </row>
    <row r="264" ht="22.5" customHeight="1">
      <c r="A264" s="32" t="n">
        <v>46110.92528930555</v>
      </c>
      <c r="B264" s="3" t="inlineStr">
        <is>
          <t>盛島幾子</t>
        </is>
      </c>
      <c r="C264" s="3" t="inlineStr">
        <is>
          <t>八戸市立市民病院</t>
        </is>
      </c>
      <c r="D264" s="3" t="inlineStr">
        <is>
          <t>青森県</t>
        </is>
      </c>
      <c r="E264" s="3" t="inlineStr">
        <is>
          <t>ikumori64@gmail.com</t>
        </is>
      </c>
      <c r="F264" s="3" t="inlineStr">
        <is>
          <t>リハビリテーション科/理学療法士</t>
        </is>
      </c>
      <c r="G264" s="3" t="n">
        <v>131</v>
      </c>
      <c r="H264" s="3" t="n">
        <v>7</v>
      </c>
      <c r="I264" s="3" t="n">
        <v>0</v>
      </c>
      <c r="J264" s="3" t="inlineStr">
        <is>
          <t>届け出をしておらず、検討もしていない</t>
        </is>
      </c>
      <c r="K264" s="3" t="inlineStr">
        <is>
          <t>実施していない</t>
        </is>
      </c>
      <c r="L264" s="3" t="inlineStr">
        <is>
          <t>全症例の0％〜24％程度</t>
        </is>
      </c>
      <c r="N264" s="3" t="inlineStr">
        <is>
          <t>全症例の0％〜24％程度</t>
        </is>
      </c>
      <c r="P264" s="3" t="inlineStr">
        <is>
          <t>全症例の0％〜24％程度</t>
        </is>
      </c>
      <c r="R264" s="3" t="inlineStr">
        <is>
          <t>全症例の0％〜24％程度</t>
        </is>
      </c>
      <c r="T264" s="3" t="inlineStr">
        <is>
          <t>開眼片脚立位時間</t>
        </is>
      </c>
      <c r="V264" s="3" t="inlineStr">
        <is>
          <t>認知機能</t>
        </is>
      </c>
      <c r="X264" s="3" t="inlineStr">
        <is>
          <t>立ち上がりテスト</t>
        </is>
      </c>
      <c r="Z264" s="3" t="inlineStr">
        <is>
          <t>Barthel Index（BI）</t>
        </is>
      </c>
      <c r="AB264" s="3" t="inlineStr">
        <is>
          <t>AMTS</t>
        </is>
      </c>
      <c r="AD264" s="3" t="inlineStr">
        <is>
          <t>認知機能, 既往疾患の有無（脳血管疾患、パーキンソン病など）</t>
        </is>
      </c>
      <c r="AF264" s="3" t="inlineStr">
        <is>
          <t>決まっている</t>
        </is>
      </c>
      <c r="AG264" s="3" t="inlineStr">
        <is>
          <t>リハビリ初回(概ね術後1日目)</t>
        </is>
      </c>
      <c r="AI264" s="3" t="inlineStr">
        <is>
          <t>下肢筋力強化, 歩行練習, 起立、着座動作練習, 環境調整, 補助具、装具の適正化, 行動面への介入, 教育、指導</t>
        </is>
      </c>
    </row>
    <row r="265" ht="22.5" customHeight="1">
      <c r="A265" s="32" t="n">
        <v>46111.31397519676</v>
      </c>
      <c r="B265" s="3" t="inlineStr">
        <is>
          <t>峯田　拓也</t>
        </is>
      </c>
      <c r="C265" s="3" t="inlineStr">
        <is>
          <t>徳島県立三好病院</t>
        </is>
      </c>
      <c r="D265" s="3" t="inlineStr">
        <is>
          <t>徳島県</t>
        </is>
      </c>
      <c r="E265" s="3" t="inlineStr">
        <is>
          <t>vinosyu.3@gmail.com</t>
        </is>
      </c>
      <c r="F265" s="3" t="inlineStr">
        <is>
          <t>リハビリテーション技術科</t>
        </is>
      </c>
      <c r="G265" s="3" t="n">
        <v>143</v>
      </c>
      <c r="H265" s="3" t="n">
        <v>8</v>
      </c>
      <c r="I265" s="3" t="n">
        <v>4</v>
      </c>
      <c r="J265" s="3" t="inlineStr">
        <is>
          <t>届け出をしておらず、検討もしていない</t>
        </is>
      </c>
      <c r="K265" s="3" t="inlineStr">
        <is>
          <t>関節可動域運動, DVT予防, 自主運動指導, 術後リハビリテーションのオリエンテーション</t>
        </is>
      </c>
      <c r="L265" s="3" t="inlineStr">
        <is>
          <t>全症例の0％〜24％程度</t>
        </is>
      </c>
      <c r="N265" s="3" t="inlineStr">
        <is>
          <t>全症例の0％〜24％程度</t>
        </is>
      </c>
      <c r="P265" s="3" t="inlineStr">
        <is>
          <t>全症例の0％〜24％程度</t>
        </is>
      </c>
      <c r="R265" s="3" t="inlineStr">
        <is>
          <t>全症例の0％〜24％程度</t>
        </is>
      </c>
      <c r="T265" s="3" t="inlineStr">
        <is>
          <t>実施していない</t>
        </is>
      </c>
      <c r="V265" s="3" t="inlineStr">
        <is>
          <t>実施していない</t>
        </is>
      </c>
      <c r="X265" s="3" t="inlineStr">
        <is>
          <t>実施していない</t>
        </is>
      </c>
      <c r="Z265" s="3" t="inlineStr">
        <is>
          <t>Barthel Index（BI）</t>
        </is>
      </c>
      <c r="AB265" s="3" t="inlineStr">
        <is>
          <t>MMSE, HDS-R, AMTS</t>
        </is>
      </c>
      <c r="AD265" s="3" t="inlineStr">
        <is>
          <t>実施していない</t>
        </is>
      </c>
      <c r="AI265" s="3" t="inlineStr">
        <is>
          <t>下肢筋力強化, バランス練習, 歩行練習, 歩容改善, 起立、着座動作練習, 環境調整, 教育、指導</t>
        </is>
      </c>
    </row>
    <row r="266" ht="22.5" customHeight="1">
      <c r="A266" s="32" t="n">
        <v>46111.37328810185</v>
      </c>
      <c r="B266" s="3" t="inlineStr">
        <is>
          <t>工藤　和美</t>
        </is>
      </c>
      <c r="C266" s="3" t="inlineStr">
        <is>
          <t>社会福祉法人恩賜財団済生会西条病院</t>
        </is>
      </c>
      <c r="D266" s="3" t="inlineStr">
        <is>
          <t>愛媛県</t>
        </is>
      </c>
      <c r="E266" s="3" t="inlineStr">
        <is>
          <t>iryohisyo02@saiseikaisaijo.jp</t>
        </is>
      </c>
      <c r="F266" s="3" t="inlineStr">
        <is>
          <t>リハビリテーション科／理学療法士</t>
        </is>
      </c>
      <c r="G266" s="3" t="n">
        <v>106</v>
      </c>
      <c r="H266" s="3" t="n">
        <v>13</v>
      </c>
      <c r="I266" s="3" t="n">
        <v>7</v>
      </c>
      <c r="J266" s="3" t="inlineStr">
        <is>
          <t>届け出をしておらず、検討もしていない</t>
        </is>
      </c>
      <c r="K266" s="3" t="inlineStr">
        <is>
          <t>関節可動域運動, 筋力増強運動, 呼吸リハビリテーション, DVT予防, リラクセーション, ポジショニング, 自主運動指導, 術後リハビリテーションのオリエンテーション, 離床（例：車椅子移乗,立位,歩行など）</t>
        </is>
      </c>
      <c r="L266" s="3" t="inlineStr">
        <is>
          <t>全症例の50％〜74％程度</t>
        </is>
      </c>
      <c r="M266" s="3" t="inlineStr">
        <is>
          <t>理学療法、作業療法実施前の鎮痛薬の使用</t>
        </is>
      </c>
      <c r="N266" s="3" t="inlineStr">
        <is>
          <t>全症例の25％〜49％程度</t>
        </is>
      </c>
      <c r="P266" s="3" t="inlineStr">
        <is>
          <t>全症例の25％〜49％程度</t>
        </is>
      </c>
      <c r="R266" s="3" t="inlineStr">
        <is>
          <t>全症例の0％〜24％程度</t>
        </is>
      </c>
      <c r="T266" s="3" t="inlineStr">
        <is>
          <t>実施していない</t>
        </is>
      </c>
      <c r="V266" s="3" t="inlineStr">
        <is>
          <t>実施していない</t>
        </is>
      </c>
      <c r="X266" s="3" t="inlineStr">
        <is>
          <t>実施していない</t>
        </is>
      </c>
      <c r="Z266" s="3" t="inlineStr">
        <is>
          <t>Barthel Index（BI）, FIM</t>
        </is>
      </c>
      <c r="AB266" s="3" t="inlineStr">
        <is>
          <t>MMSE, HDS-R</t>
        </is>
      </c>
      <c r="AD266" s="3" t="inlineStr">
        <is>
          <t>認知機能</t>
        </is>
      </c>
      <c r="AF266" s="3" t="inlineStr">
        <is>
          <t>決まっている</t>
        </is>
      </c>
      <c r="AG266" s="3" t="inlineStr">
        <is>
          <t>術翌日</t>
        </is>
      </c>
      <c r="AI266" s="3" t="inlineStr">
        <is>
          <t>下肢筋力強化, バランス練習, 歩行練習, 歩容改善, 起立、着座動作練習, 環境調整, 補助具、装具の適正化, 認知面への介入, 行動面への介入, 教育、指導</t>
        </is>
      </c>
    </row>
    <row r="267" ht="22.5" customHeight="1">
      <c r="A267" s="32" t="n">
        <v>46111.41423328704</v>
      </c>
      <c r="B267" s="3" t="inlineStr">
        <is>
          <t>加藤愛</t>
        </is>
      </c>
      <c r="C267" s="3" t="inlineStr">
        <is>
          <t>医療法人徳洲会　仙台徳洲会病院</t>
        </is>
      </c>
      <c r="D267" s="3" t="inlineStr">
        <is>
          <t>宮城県</t>
        </is>
      </c>
      <c r="E267" s="3" t="inlineStr">
        <is>
          <t>riha@senndai.tokushukai.or.jp</t>
        </is>
      </c>
      <c r="F267" s="3" t="inlineStr">
        <is>
          <t>リハビリテーション科／理学療法士</t>
        </is>
      </c>
      <c r="G267" s="3" t="n">
        <v>313</v>
      </c>
      <c r="H267" s="3" t="n">
        <v>15</v>
      </c>
      <c r="I267" s="3" t="n">
        <v>10.8</v>
      </c>
      <c r="J267" s="3" t="inlineStr">
        <is>
          <t>届け出をしておらず、検討もしていない</t>
        </is>
      </c>
      <c r="K267" s="3" t="inlineStr">
        <is>
          <t>関節可動域運動, 筋力増強運動, 呼吸リハビリテーション, DVT予防, リラクセーション, ポジショニング, 自主運動指導, 術後リハビリテーションのオリエンテーション</t>
        </is>
      </c>
      <c r="L267" s="3" t="inlineStr">
        <is>
          <t>全症例の75％〜100％程度</t>
        </is>
      </c>
      <c r="M267" s="3" t="inlineStr">
        <is>
          <t>パスを導入しているが、いずれのパスも術後翌日の全荷重となっていない。</t>
        </is>
      </c>
      <c r="N267" s="3" t="inlineStr">
        <is>
          <t>全症例の0％〜24％程度</t>
        </is>
      </c>
      <c r="P267" s="3" t="inlineStr">
        <is>
          <t>全症例の0％〜24％程度</t>
        </is>
      </c>
      <c r="R267" s="3" t="inlineStr">
        <is>
          <t>全症例の0％〜24％程度</t>
        </is>
      </c>
      <c r="T267" s="3" t="inlineStr">
        <is>
          <t>実施していない</t>
        </is>
      </c>
      <c r="U267" s="3" t="inlineStr">
        <is>
          <t>各評価内容は担当者に任せている。</t>
        </is>
      </c>
      <c r="V267" s="3" t="inlineStr">
        <is>
          <t>認知機能</t>
        </is>
      </c>
      <c r="X267" s="3" t="inlineStr">
        <is>
          <t>実施していない</t>
        </is>
      </c>
      <c r="Y267" s="3" t="inlineStr">
        <is>
          <t>各評価内容は担当者に任せている。</t>
        </is>
      </c>
      <c r="Z267" s="3" t="inlineStr">
        <is>
          <t>Barthel Index（BI）, FIM</t>
        </is>
      </c>
      <c r="AB267" s="3" t="inlineStr">
        <is>
          <t>HDS-R</t>
        </is>
      </c>
      <c r="AD267" s="3" t="inlineStr">
        <is>
          <t>定量的な下肢筋力測定, 認知機能</t>
        </is>
      </c>
      <c r="AF267" s="3" t="inlineStr">
        <is>
          <t>決まっている</t>
        </is>
      </c>
      <c r="AG267" s="3" t="inlineStr">
        <is>
          <t>リハビリ介入日か翌日</t>
        </is>
      </c>
      <c r="AI267" s="3" t="inlineStr">
        <is>
          <t>下肢筋力強化, バランス練習, 歩行練習, 歩容改善, 起立、着座動作練習, 環境調整, 補助具、装具の適正化, 教育、指導</t>
        </is>
      </c>
    </row>
    <row r="268" ht="22.5" customHeight="1">
      <c r="A268" s="32" t="n">
        <v>46111.43892118055</v>
      </c>
      <c r="B268" s="3" t="inlineStr">
        <is>
          <t>大中　将</t>
        </is>
      </c>
      <c r="C268" s="3" t="inlineStr">
        <is>
          <t>済生会松山病院</t>
        </is>
      </c>
      <c r="D268" s="3" t="inlineStr">
        <is>
          <t>愛媛県</t>
        </is>
      </c>
      <c r="E268" s="3" t="inlineStr">
        <is>
          <t>jimu@matsuyama.saiseikai.or.jp</t>
        </is>
      </c>
      <c r="G268" s="3" t="n">
        <v>194</v>
      </c>
      <c r="H268" s="3" t="n">
        <v>17</v>
      </c>
      <c r="I268" s="3" t="n">
        <v>0</v>
      </c>
      <c r="J268" s="3" t="inlineStr">
        <is>
          <t>届け出はしていないが、現在検討中である</t>
        </is>
      </c>
      <c r="K268" s="3" t="inlineStr">
        <is>
          <t>関節可動域運動, 筋力増強運動, 呼吸リハビリテーション, DVT予防, ポジショニング, 自主運動指導, 術後リハビリテーションのオリエンテーション, 離床（例：車椅子移乗,立位,歩行など）</t>
        </is>
      </c>
      <c r="L268" s="3" t="inlineStr">
        <is>
          <t>全症例の75％〜100％程度</t>
        </is>
      </c>
      <c r="M268" s="3" t="inlineStr">
        <is>
          <t>土日を含めたリハビリ、全介助でも車いすへ移乗する、術前から早期介入など</t>
        </is>
      </c>
      <c r="N268" s="3" t="inlineStr">
        <is>
          <t>全症例の0％〜24％程度</t>
        </is>
      </c>
      <c r="P268" s="3" t="inlineStr">
        <is>
          <t>全症例の0％〜24％程度</t>
        </is>
      </c>
      <c r="R268" s="3" t="inlineStr">
        <is>
          <t>全症例の0％〜24％程度</t>
        </is>
      </c>
      <c r="T268" s="3" t="inlineStr">
        <is>
          <t>握力, 膝伸展筋力, 5回椅子立ち上がりテスト, SPPB, 下腿周径</t>
        </is>
      </c>
      <c r="V268" s="3" t="inlineStr">
        <is>
          <t>実施していない</t>
        </is>
      </c>
      <c r="W268" s="3" t="inlineStr">
        <is>
          <t>身体機能的にフレイル評価を出来る患者が少ないため</t>
        </is>
      </c>
      <c r="X268" s="3" t="inlineStr">
        <is>
          <t>実施していない</t>
        </is>
      </c>
      <c r="Y268" s="3" t="inlineStr">
        <is>
          <t>身体機能的にロコモ評価を出来る患者少ないため</t>
        </is>
      </c>
      <c r="Z268" s="3" t="inlineStr">
        <is>
          <t>Barthel Index（BI）, FIM</t>
        </is>
      </c>
      <c r="AB268" s="3" t="inlineStr">
        <is>
          <t>MMSE, HDS-R</t>
        </is>
      </c>
      <c r="AD268" s="3" t="inlineStr">
        <is>
          <t>TUG, 10m歩行速度, Berg Balance Scale（BBS）, SPPB、Functional Reach Test（FRT）, 5回椅子立ち上がりテスト, 深部感覚評価, 過去の転倒歴, 既往疾患の有無（脳血管疾患、パーキンソン病など）, ベッド周囲および病室環境</t>
        </is>
      </c>
      <c r="AF268" s="3" t="inlineStr">
        <is>
          <t>決まっている</t>
        </is>
      </c>
      <c r="AG268" s="3" t="inlineStr">
        <is>
          <t>初回介入時及び介入前カルテチェック時</t>
        </is>
      </c>
      <c r="AI268" s="3" t="inlineStr">
        <is>
          <t>下肢筋力強化, バランス練習, 歩行練習, 歩容改善, 起立、着座動作練習, 環境調整, 補助具、装具の適正化, 認知面への介入, 教育、指導</t>
        </is>
      </c>
    </row>
    <row r="269" ht="22.5" customHeight="1">
      <c r="A269" s="32" t="n">
        <v>46111.60810898148</v>
      </c>
      <c r="B269" s="3" t="inlineStr">
        <is>
          <t>沓掛壮司</t>
        </is>
      </c>
      <c r="C269" s="3" t="inlineStr">
        <is>
          <t>特定医療法人丸山会丸子中央病院</t>
        </is>
      </c>
      <c r="D269" s="3" t="inlineStr">
        <is>
          <t>長野県</t>
        </is>
      </c>
      <c r="E269" s="3" t="inlineStr">
        <is>
          <t>souji19880111@yahoo.co.jp</t>
        </is>
      </c>
      <c r="F269" s="3" t="inlineStr">
        <is>
          <t>医療リハビリテーション科／理学療法士</t>
        </is>
      </c>
      <c r="G269" s="3" t="n">
        <v>72</v>
      </c>
      <c r="H269" s="3" t="n">
        <v>5</v>
      </c>
      <c r="I269" s="3" t="n">
        <v>1</v>
      </c>
      <c r="J269" s="3" t="inlineStr">
        <is>
          <t>現在、算定している</t>
        </is>
      </c>
      <c r="K269" s="3" t="inlineStr">
        <is>
          <t>関節可動域運動, 筋力増強運動, 呼吸リハビリテーション, DVT予防, リラクセーション, ポジショニング, 自主運動指導, 術後リハビリテーションのオリエンテーション, 離床（例：車椅子移乗,立位,歩行など）</t>
        </is>
      </c>
      <c r="L269" s="3" t="inlineStr">
        <is>
          <t>全症例の0％〜24％程度</t>
        </is>
      </c>
      <c r="N269" s="3" t="inlineStr">
        <is>
          <t>全症例の0％〜24％程度</t>
        </is>
      </c>
      <c r="P269" s="3" t="inlineStr">
        <is>
          <t>全症例の0％〜24％程度</t>
        </is>
      </c>
      <c r="R269" s="3" t="inlineStr">
        <is>
          <t>全症例の0％〜24％程度</t>
        </is>
      </c>
      <c r="T269" s="3" t="inlineStr">
        <is>
          <t>握力, 5回椅子立ち上がりテスト, 歩行速度, SPPB</t>
        </is>
      </c>
      <c r="V269" s="3" t="inlineStr">
        <is>
          <t>J-CHS基準, 認知機能, 握力</t>
        </is>
      </c>
      <c r="X269" s="3" t="inlineStr">
        <is>
          <t>立ち上がりテスト</t>
        </is>
      </c>
      <c r="Z269" s="3" t="inlineStr">
        <is>
          <t>Barthel Index（BI）</t>
        </is>
      </c>
      <c r="AB269" s="3" t="inlineStr">
        <is>
          <t>MMSE, HDS-R, MoCA</t>
        </is>
      </c>
      <c r="AD269" s="3" t="inlineStr">
        <is>
          <t>SPPB、Functional Reach Test（FRT）, 5回椅子立ち上がりテスト</t>
        </is>
      </c>
      <c r="AF269" s="3" t="inlineStr">
        <is>
          <t>決まっている</t>
        </is>
      </c>
      <c r="AG269" s="3" t="inlineStr">
        <is>
          <t>術後14日目</t>
        </is>
      </c>
      <c r="AI269" s="3" t="inlineStr">
        <is>
          <t>下肢筋力強化, バランス練習, 歩行練習, 歩容改善, 起立、着座動作練習, 環境調整, 補助具、装具の適正化, 認知面への介入, 行動面への介入, 薬剤調整, 教育、指導</t>
        </is>
      </c>
    </row>
    <row r="270" ht="22.5" customHeight="1">
      <c r="A270" s="32" t="n">
        <v>46111.69508582176</v>
      </c>
      <c r="B270" s="3" t="inlineStr">
        <is>
          <t>田中　翔</t>
        </is>
      </c>
      <c r="C270" s="3" t="inlineStr">
        <is>
          <t>独立行政法人地域医療機能推進機構北海道病院</t>
        </is>
      </c>
      <c r="D270" s="3" t="inlineStr">
        <is>
          <t>北海道</t>
        </is>
      </c>
      <c r="E270" s="3" t="inlineStr">
        <is>
          <t>tanaka-shou@hokkaido.jcho.go.jp</t>
        </is>
      </c>
      <c r="F270" s="3" t="inlineStr">
        <is>
          <t>リハビリテーション部／理学療法士</t>
        </is>
      </c>
      <c r="G270" s="3" t="n">
        <v>79</v>
      </c>
      <c r="H270" s="3" t="n">
        <v>6</v>
      </c>
      <c r="I270" s="3" t="n">
        <v>5</v>
      </c>
      <c r="J270" s="3" t="inlineStr">
        <is>
          <t>届け出はしていないが、現在検討中である</t>
        </is>
      </c>
      <c r="K270" s="3" t="inlineStr">
        <is>
          <t>関節可動域運動, 筋力増強運動, DVT予防, リラクセーション, ポジショニング, 自主運動指導, 術後リハビリテーションのオリエンテーション</t>
        </is>
      </c>
      <c r="L270" s="3" t="inlineStr">
        <is>
          <t>全症例の75％〜100％程度</t>
        </is>
      </c>
      <c r="M270" s="3" t="inlineStr">
        <is>
          <t>薬物療法との併用</t>
        </is>
      </c>
      <c r="N270" s="3" t="inlineStr">
        <is>
          <t>全症例の0％〜24％程度</t>
        </is>
      </c>
      <c r="P270" s="3" t="inlineStr">
        <is>
          <t>全症例の0％〜24％程度</t>
        </is>
      </c>
      <c r="R270" s="3" t="inlineStr">
        <is>
          <t>全症例の0％〜24％程度</t>
        </is>
      </c>
      <c r="T270" s="3" t="inlineStr">
        <is>
          <t>実施していない</t>
        </is>
      </c>
      <c r="U270" s="3" t="inlineStr">
        <is>
          <t>急性期で実施できる項目が少ない、マンパワー不足</t>
        </is>
      </c>
      <c r="V270" s="3" t="inlineStr">
        <is>
          <t>認知機能</t>
        </is>
      </c>
      <c r="X270" s="3" t="inlineStr">
        <is>
          <t>実施していない</t>
        </is>
      </c>
      <c r="Y270" s="3" t="inlineStr">
        <is>
          <t>急性期で実施できる項目が少ない、マンパワー不足</t>
        </is>
      </c>
      <c r="Z270" s="3" t="inlineStr">
        <is>
          <t>Barthel Index（BI）</t>
        </is>
      </c>
      <c r="AB270" s="3" t="inlineStr">
        <is>
          <t>MMSE, HDS-R, MoCA</t>
        </is>
      </c>
      <c r="AD270" s="3" t="inlineStr">
        <is>
          <t>実施していない</t>
        </is>
      </c>
      <c r="AE270" s="3" t="inlineStr">
        <is>
          <t>施設内でのルールとしては設けられていない</t>
        </is>
      </c>
      <c r="AI270" s="3" t="inlineStr">
        <is>
          <t>下肢筋力強化, バランス練習, 歩行練習, 歩容改善, 起立、着座動作練習, 環境調整, 補助具、装具の適正化, 認知面への介入, 行動面への介入, 薬剤調整, 教育、指導</t>
        </is>
      </c>
    </row>
    <row r="271" ht="22.5" customHeight="1">
      <c r="A271" s="32" t="n">
        <v>46111.72020903935</v>
      </c>
      <c r="B271" s="3" t="inlineStr">
        <is>
          <t>有馬拓己</t>
        </is>
      </c>
      <c r="C271" s="3" t="inlineStr">
        <is>
          <t>医療法人八女発心会姫野病院</t>
        </is>
      </c>
      <c r="D271" s="3" t="inlineStr">
        <is>
          <t>福岡県</t>
        </is>
      </c>
      <c r="E271" s="3" t="inlineStr">
        <is>
          <t>ta931212@gmail.com</t>
        </is>
      </c>
      <c r="F271" s="3" t="inlineStr">
        <is>
          <t>リハビリテーション部T6病棟／作業療法士</t>
        </is>
      </c>
      <c r="G271" s="3" t="n">
        <v>184</v>
      </c>
      <c r="H271" s="3" t="n">
        <v>22</v>
      </c>
      <c r="I271" s="3" t="n">
        <v>12</v>
      </c>
      <c r="J271" s="3" t="inlineStr">
        <is>
          <t>現在、算定している</t>
        </is>
      </c>
      <c r="K271" s="3" t="inlineStr">
        <is>
          <t>関節可動域運動, ポジショニング</t>
        </is>
      </c>
      <c r="L271" s="3" t="inlineStr">
        <is>
          <t>全症例の50％〜74％程度</t>
        </is>
      </c>
      <c r="M271" s="3" t="inlineStr">
        <is>
          <t>疼痛管理、筋力強化</t>
        </is>
      </c>
      <c r="N271" s="3" t="inlineStr">
        <is>
          <t>全症例の0％〜24％程度</t>
        </is>
      </c>
      <c r="P271" s="3" t="inlineStr">
        <is>
          <t>全症例の0％〜24％程度</t>
        </is>
      </c>
      <c r="R271" s="3" t="inlineStr">
        <is>
          <t>全症例の0％〜24％程度</t>
        </is>
      </c>
      <c r="T271" s="3" t="inlineStr">
        <is>
          <t>下腿周径</t>
        </is>
      </c>
      <c r="V271" s="3" t="inlineStr">
        <is>
          <t>実施していない</t>
        </is>
      </c>
      <c r="X271" s="3" t="inlineStr">
        <is>
          <t>実施していない</t>
        </is>
      </c>
      <c r="Z271" s="3" t="inlineStr">
        <is>
          <t>Barthel Index（BI）</t>
        </is>
      </c>
      <c r="AB271" s="3" t="inlineStr">
        <is>
          <t>MMSE, HDS-R, AMTS</t>
        </is>
      </c>
      <c r="AD271" s="3" t="inlineStr">
        <is>
          <t>認知機能, せん妄, 転倒恐怖感, 過去の転倒歴, 既往疾患の有無（脳血管疾患、パーキンソン病など）, ベッド周囲および病室環境</t>
        </is>
      </c>
      <c r="AF271" s="3" t="inlineStr">
        <is>
          <t>決まっていない</t>
        </is>
      </c>
      <c r="AI271" s="3" t="inlineStr">
        <is>
          <t>下肢筋力強化, バランス練習, 歩行練習, 歩容改善, 起立、着座動作練習, 環境調整, 補助具、装具の適正化, 認知面への介入, 行動面への介入, 教育、指導</t>
        </is>
      </c>
    </row>
    <row r="272" ht="22.5" customHeight="1">
      <c r="A272" s="32" t="n">
        <v>46111.72753918981</v>
      </c>
      <c r="B272" s="3" t="inlineStr">
        <is>
          <t>山川亮</t>
        </is>
      </c>
      <c r="C272" s="3" t="inlineStr">
        <is>
          <t>新須磨病院</t>
        </is>
      </c>
      <c r="D272" s="3" t="inlineStr">
        <is>
          <t>兵庫県</t>
        </is>
      </c>
      <c r="E272" s="3" t="inlineStr">
        <is>
          <t>s-rehabili@jikeikai-group.or.jp</t>
        </is>
      </c>
      <c r="F272" s="3" t="inlineStr">
        <is>
          <t>リハビリテーション科／理学療法士</t>
        </is>
      </c>
      <c r="G272" s="3" t="n">
        <v>84</v>
      </c>
      <c r="H272" s="3" t="n">
        <v>9</v>
      </c>
      <c r="I272" s="3" t="n">
        <v>3</v>
      </c>
      <c r="J272" s="3" t="inlineStr">
        <is>
          <t>届け出をしておらず、検討もしていない</t>
        </is>
      </c>
      <c r="K272" s="3" t="inlineStr">
        <is>
          <t>筋力増強運動, ポジショニング, 術後リハビリテーションのオリエンテーション</t>
        </is>
      </c>
      <c r="L272" s="3" t="inlineStr">
        <is>
          <t>全症例の25％〜49％程度</t>
        </is>
      </c>
      <c r="N272" s="3" t="inlineStr">
        <is>
          <t>全症例の0％〜24％程度</t>
        </is>
      </c>
      <c r="P272" s="3" t="inlineStr">
        <is>
          <t>全症例の0％〜24％程度</t>
        </is>
      </c>
      <c r="R272" s="3" t="inlineStr">
        <is>
          <t>全症例の0％〜24％程度</t>
        </is>
      </c>
      <c r="T272" s="3" t="inlineStr">
        <is>
          <t>歩行速度, SPPB, TUG, 6分間歩行距離, 開眼片脚立位時間</t>
        </is>
      </c>
      <c r="V272" s="3" t="inlineStr">
        <is>
          <t>TUG, 6分間歩行距離, 認知機能</t>
        </is>
      </c>
      <c r="X272" s="3" t="inlineStr">
        <is>
          <t>実施していない</t>
        </is>
      </c>
      <c r="Y272" s="3" t="inlineStr">
        <is>
          <t>通常PT・OTが行う、より具体的な機能評価に重点を置いている</t>
        </is>
      </c>
      <c r="Z272" s="3" t="inlineStr">
        <is>
          <t>Barthel Index（BI）, FIM</t>
        </is>
      </c>
      <c r="AB272" s="3" t="inlineStr">
        <is>
          <t>MMSE, HDS-R</t>
        </is>
      </c>
      <c r="AD272" s="3" t="inlineStr">
        <is>
          <t>TUG, 10m歩行速度, Berg Balance Scale（BBS）, SPPB、Functional Reach Test（FRT）</t>
        </is>
      </c>
      <c r="AF272" s="3" t="inlineStr">
        <is>
          <t>決まっていない</t>
        </is>
      </c>
      <c r="AH272" s="3" t="inlineStr">
        <is>
          <t>制度を理解しているものがいない</t>
        </is>
      </c>
      <c r="AI272" s="3" t="inlineStr">
        <is>
          <t>バランス練習, 歩行練習, 環境調整, 補助具、装具の適正化, 認知面への介入</t>
        </is>
      </c>
    </row>
    <row r="273" ht="22.5" customHeight="1">
      <c r="A273" s="32" t="n">
        <v>46111.74143547453</v>
      </c>
      <c r="B273" s="3" t="inlineStr">
        <is>
          <t>中山　真吾</t>
        </is>
      </c>
      <c r="C273" s="3" t="inlineStr">
        <is>
          <t>平塚市民病院</t>
        </is>
      </c>
      <c r="D273" s="3" t="inlineStr">
        <is>
          <t>神奈川県</t>
        </is>
      </c>
      <c r="E273" s="3" t="inlineStr">
        <is>
          <t>hurehira0410@gmail.com</t>
        </is>
      </c>
      <c r="F273" s="3" t="inlineStr">
        <is>
          <t>リハビリテーション技術科/理学療法士</t>
        </is>
      </c>
      <c r="G273" s="3" t="n">
        <v>311</v>
      </c>
      <c r="H273" s="3" t="n">
        <v>9</v>
      </c>
      <c r="I273" s="3" t="n">
        <v>0</v>
      </c>
      <c r="J273" s="3" t="inlineStr">
        <is>
          <t>届け出をしておらず、検討もしていない</t>
        </is>
      </c>
      <c r="K273" s="3" t="inlineStr">
        <is>
          <t>関節可動域運動, 筋力増強運動, DVT予防, 術後リハビリテーションのオリエンテーション</t>
        </is>
      </c>
      <c r="L273" s="3" t="inlineStr">
        <is>
          <t>全症例の0％〜24％程度</t>
        </is>
      </c>
      <c r="N273" s="3" t="inlineStr">
        <is>
          <t>全症例の0％〜24％程度</t>
        </is>
      </c>
      <c r="P273" s="3" t="inlineStr">
        <is>
          <t>全症例の25％〜49％程度</t>
        </is>
      </c>
      <c r="R273" s="3" t="inlineStr">
        <is>
          <t>全症例の0％〜24％程度</t>
        </is>
      </c>
      <c r="T273" s="3" t="inlineStr">
        <is>
          <t>握力, 歩行速度, SPPB, TUG, 開眼片脚立位時間, 下腿周径</t>
        </is>
      </c>
      <c r="V273" s="3" t="inlineStr">
        <is>
          <t>TUG, 握力</t>
        </is>
      </c>
      <c r="X273" s="3" t="inlineStr">
        <is>
          <t>立ち上がりテスト</t>
        </is>
      </c>
      <c r="Z273" s="3" t="inlineStr">
        <is>
          <t>Barthel Index（BI）</t>
        </is>
      </c>
      <c r="AB273" s="3" t="inlineStr">
        <is>
          <t>AMTS</t>
        </is>
      </c>
      <c r="AD273" s="3" t="inlineStr">
        <is>
          <t>実施していない</t>
        </is>
      </c>
      <c r="AE273" s="3" t="inlineStr">
        <is>
          <t>施設では個人の個人の判断でSPPBやBBSなどを行っている</t>
        </is>
      </c>
      <c r="AI273" s="3" t="inlineStr">
        <is>
          <t>下肢筋力強化, バランス練習, 歩行練習, 歩容改善, 起立、着座動作練習, 環境調整, 補助具、装具の適正化</t>
        </is>
      </c>
    </row>
    <row r="274" ht="22.5" customHeight="1">
      <c r="A274" s="32" t="n">
        <v>46111.76347726852</v>
      </c>
      <c r="B274" s="3" t="inlineStr">
        <is>
          <t>松原　靖子</t>
        </is>
      </c>
      <c r="C274" s="3" t="inlineStr">
        <is>
          <t>八戸赤十字病院</t>
        </is>
      </c>
      <c r="D274" s="3" t="inlineStr">
        <is>
          <t>青森県</t>
        </is>
      </c>
      <c r="E274" s="3" t="inlineStr">
        <is>
          <t>760co001@hachinohe.jrc.or.jp</t>
        </is>
      </c>
      <c r="F274" s="3" t="inlineStr">
        <is>
          <t>リハビリテーション科／理学療法士</t>
        </is>
      </c>
      <c r="G274" s="3" t="n">
        <v>171</v>
      </c>
      <c r="H274" s="3" t="n">
        <v>9</v>
      </c>
      <c r="I274" s="3" t="n">
        <v>1</v>
      </c>
      <c r="J274" s="3" t="inlineStr">
        <is>
          <t>届け出をしておらず、検討もしていない</t>
        </is>
      </c>
      <c r="K274" s="3" t="inlineStr">
        <is>
          <t>筋力増強運動, 呼吸リハビリテーション, DVT予防, ポジショニング, 自主運動指導, 術後リハビリテーションのオリエンテーション</t>
        </is>
      </c>
      <c r="L274" s="3" t="inlineStr">
        <is>
          <t>全症例の25％〜49％程度</t>
        </is>
      </c>
      <c r="N274" s="3" t="inlineStr">
        <is>
          <t>全症例の0％〜24％程度</t>
        </is>
      </c>
      <c r="P274" s="3" t="inlineStr">
        <is>
          <t>全症例の0％〜24％程度</t>
        </is>
      </c>
      <c r="R274" s="3" t="inlineStr">
        <is>
          <t>全症例の0％〜24％程度</t>
        </is>
      </c>
      <c r="T274" s="3" t="inlineStr">
        <is>
          <t>握力, 膝伸展筋力</t>
        </is>
      </c>
      <c r="V274" s="3" t="inlineStr">
        <is>
          <t>認知機能, 抑うつや意欲低下, 握力</t>
        </is>
      </c>
      <c r="X274" s="3" t="inlineStr">
        <is>
          <t>実施していない</t>
        </is>
      </c>
      <c r="Y274" s="3" t="inlineStr">
        <is>
          <t>上記評価項目を実施できる対象患者が殆どいない、受傷入院時点でロコモ25は必要な評価項目なのかわからない</t>
        </is>
      </c>
      <c r="Z274" s="3" t="inlineStr">
        <is>
          <t>Barthel Index（BI）</t>
        </is>
      </c>
      <c r="AB274" s="3" t="inlineStr">
        <is>
          <t>MMSE, HDS-R, AMTS</t>
        </is>
      </c>
      <c r="AD274" s="3" t="inlineStr">
        <is>
          <t>定量的な下肢筋力測定, 開眼片脚立位時間, 深部感覚評価, 認知機能, 注意障害, 遂行機能, せん妄, 転倒恐怖感, 過去の転倒歴, 既往疾患の有無（脳血管疾患、パーキンソン病など）, 薬剤（向精神薬、降圧薬、利尿薬、ポリファーマシーなど）, ベッド周囲および病室環境</t>
        </is>
      </c>
      <c r="AF274" s="3" t="inlineStr">
        <is>
          <t>決まっていない</t>
        </is>
      </c>
      <c r="AH274" s="3" t="inlineStr">
        <is>
          <t>初期評価に加え、患者の状態に合わせて、必要時評価している</t>
        </is>
      </c>
      <c r="AI274" s="3" t="inlineStr">
        <is>
          <t>下肢筋力強化, バランス練習, 歩行練習, 歩容改善, 起立、着座動作練習, 環境調整, 補助具、装具の適正化, 認知面への介入, 薬剤調整, 教育、指導</t>
        </is>
      </c>
    </row>
    <row r="275" ht="22.5" customHeight="1">
      <c r="A275" s="32" t="n">
        <v>46111.79301571759</v>
      </c>
      <c r="B275" s="3" t="inlineStr">
        <is>
          <t>藤田　直也</t>
        </is>
      </c>
      <c r="C275" s="3" t="inlineStr">
        <is>
          <t>岡山旭東病院</t>
        </is>
      </c>
      <c r="D275" s="3" t="inlineStr">
        <is>
          <t>岡山県</t>
        </is>
      </c>
      <c r="E275" s="3" t="inlineStr">
        <is>
          <t>rpt@kyokuto.or.jp</t>
        </is>
      </c>
      <c r="F275" s="3" t="inlineStr">
        <is>
          <t>リハビリテーション課／理学療法士</t>
        </is>
      </c>
      <c r="G275" s="3" t="n">
        <v>251</v>
      </c>
      <c r="H275" s="3" t="n">
        <v>17</v>
      </c>
      <c r="I275" s="3" t="n">
        <v>8</v>
      </c>
      <c r="J275" s="3" t="inlineStr">
        <is>
          <t>現在、算定している</t>
        </is>
      </c>
      <c r="K275" s="3" t="inlineStr">
        <is>
          <t>関節可動域運動, 筋力増強運動, 呼吸リハビリテーション, DVT予防, リラクセーション, ポジショニング, 自主運動指導, 術後リハビリテーションのオリエンテーション, 離床（例：車椅子移乗,立位,歩行など）, 認知機能検査</t>
        </is>
      </c>
      <c r="L275" s="3" t="inlineStr">
        <is>
          <t>全症例の0％〜24％程度</t>
        </is>
      </c>
      <c r="N275" s="3" t="inlineStr">
        <is>
          <t>全症例の0％〜24％程度</t>
        </is>
      </c>
      <c r="P275" s="3" t="inlineStr">
        <is>
          <t>全症例の0％〜24％程度</t>
        </is>
      </c>
      <c r="R275" s="3" t="inlineStr">
        <is>
          <t>全症例の0％〜24％程度</t>
        </is>
      </c>
      <c r="T275" s="3" t="inlineStr">
        <is>
          <t>握力, 膝伸展筋力, 歩行速度, TUG, 6分間歩行距離</t>
        </is>
      </c>
      <c r="V275" s="3" t="inlineStr">
        <is>
          <t>TUG, 6分間歩行距離, 認知機能, 握力</t>
        </is>
      </c>
      <c r="X275" s="3" t="inlineStr">
        <is>
          <t>立ち上がりテスト</t>
        </is>
      </c>
      <c r="Z275" s="3" t="inlineStr">
        <is>
          <t>Barthel Index（BI）, FIM</t>
        </is>
      </c>
      <c r="AB275" s="3" t="inlineStr">
        <is>
          <t>MMSE, HDS-R, AMTS</t>
        </is>
      </c>
      <c r="AD275" s="3" t="inlineStr">
        <is>
          <t>定量的な下肢筋力測定, 開眼片脚立位時間, TUG, 10m歩行速度, Berg Balance Scale（BBS）, 深部感覚評価, 認知機能, 注意障害, 遂行機能, せん妄, 過去の転倒歴, 既往疾患の有無（脳血管疾患、パーキンソン病など）, 薬剤（向精神薬、降圧薬、利尿薬、ポリファーマシーなど）, ベッド周囲および病室環境</t>
        </is>
      </c>
      <c r="AF275" s="3" t="inlineStr">
        <is>
          <t>決まっていない</t>
        </is>
      </c>
      <c r="AH275" s="3" t="inlineStr">
        <is>
          <t>術前や入院日など、活動度評価は行っていますが、術前の何日前までかは決まっていません。また術後も自立できそうな人に評価を行うので、決まった日には評価しておりません。</t>
        </is>
      </c>
      <c r="AI275" s="3" t="inlineStr">
        <is>
          <t>下肢筋力強化, バランス練習, 歩行練習, 歩容改善, 起立、着座動作練習, 環境調整, 補助具、装具の適正化, 認知面への介入, 行動面への介入, 教育、指導</t>
        </is>
      </c>
    </row>
    <row r="276" ht="22.5" customHeight="1">
      <c r="A276" s="32" t="n">
        <v>46111.79647622685</v>
      </c>
      <c r="B276" s="3" t="inlineStr">
        <is>
          <t>畠　昌史</t>
        </is>
      </c>
      <c r="C276" s="3" t="inlineStr">
        <is>
          <t>厚生連高岡病院</t>
        </is>
      </c>
      <c r="D276" s="3" t="inlineStr">
        <is>
          <t>富山県</t>
        </is>
      </c>
      <c r="E276" s="3" t="inlineStr">
        <is>
          <t>hata03392@kouseiren-ta.or.jp</t>
        </is>
      </c>
      <c r="F276" s="3" t="inlineStr">
        <is>
          <t>リハビリテーション部／理学療法士</t>
        </is>
      </c>
      <c r="G276" s="3" t="n">
        <v>162</v>
      </c>
      <c r="H276" s="3" t="n">
        <v>7</v>
      </c>
      <c r="I276" s="3" t="n">
        <v>5</v>
      </c>
      <c r="J276" s="3" t="inlineStr">
        <is>
          <t>届け出をしておらず、検討もしていない</t>
        </is>
      </c>
      <c r="K276" s="3" t="inlineStr">
        <is>
          <t>関節可動域運動, 筋力増強運動, 自主運動指導, 術後リハビリテーションのオリエンテーション</t>
        </is>
      </c>
      <c r="L276" s="3" t="inlineStr">
        <is>
          <t>全症例の25％〜49％程度</t>
        </is>
      </c>
      <c r="N276" s="3" t="inlineStr">
        <is>
          <t>全症例の0％〜24％程度</t>
        </is>
      </c>
      <c r="P276" s="3" t="inlineStr">
        <is>
          <t>全症例の25％〜49％程度</t>
        </is>
      </c>
      <c r="R276" s="3" t="inlineStr">
        <is>
          <t>全症例の0％〜24％程度</t>
        </is>
      </c>
      <c r="T276" s="3" t="inlineStr">
        <is>
          <t>実施していない</t>
        </is>
      </c>
      <c r="U276" s="3" t="inlineStr">
        <is>
          <t>サルコペニアの評価として、実施していない</t>
        </is>
      </c>
      <c r="V276" s="3" t="inlineStr">
        <is>
          <t>実施していない</t>
        </is>
      </c>
      <c r="X276" s="3" t="inlineStr">
        <is>
          <t>実施していない</t>
        </is>
      </c>
      <c r="Y276" s="3" t="inlineStr">
        <is>
          <t>現状、必要性を感じていない</t>
        </is>
      </c>
      <c r="Z276" s="3" t="inlineStr">
        <is>
          <t>FIM</t>
        </is>
      </c>
      <c r="AB276" s="3" t="inlineStr">
        <is>
          <t>HDS-R</t>
        </is>
      </c>
      <c r="AD276" s="3" t="inlineStr">
        <is>
          <t>TUG, 10m歩行速度</t>
        </is>
      </c>
      <c r="AF276" s="3" t="inlineStr">
        <is>
          <t>決まっていない</t>
        </is>
      </c>
      <c r="AH276" s="3" t="inlineStr">
        <is>
          <t>まだ体系化されてない</t>
        </is>
      </c>
      <c r="AI276" s="3" t="inlineStr">
        <is>
          <t>下肢筋力強化, バランス練習, 歩行練習, 起立、着座動作練習, 環境調整, 補助具、装具の適正化, 教育、指導</t>
        </is>
      </c>
    </row>
    <row r="277" ht="22.5" customHeight="1">
      <c r="A277" s="32" t="n">
        <v>46112.37286003472</v>
      </c>
      <c r="B277" s="3" t="inlineStr">
        <is>
          <t>比地岡　亮介</t>
        </is>
      </c>
      <c r="C277" s="3" t="inlineStr">
        <is>
          <t>平塚共済病院</t>
        </is>
      </c>
      <c r="D277" s="3" t="inlineStr">
        <is>
          <t>神奈川県</t>
        </is>
      </c>
      <c r="E277" s="3" t="inlineStr">
        <is>
          <t>hijioka-r@kkr.hiratsuka.kanagawa.jp</t>
        </is>
      </c>
      <c r="F277" s="3" t="inlineStr">
        <is>
          <t>リハビリテーション科　理学療法士</t>
        </is>
      </c>
      <c r="G277" s="3" t="n">
        <v>120</v>
      </c>
      <c r="H277" s="3" t="n">
        <v>10</v>
      </c>
      <c r="I277" s="3" t="n">
        <v>0</v>
      </c>
      <c r="J277" s="3" t="inlineStr">
        <is>
          <t>届け出をしておらず、検討もしていない</t>
        </is>
      </c>
      <c r="K277" s="3" t="inlineStr">
        <is>
          <t>自主運動指導</t>
        </is>
      </c>
      <c r="L277" s="3" t="inlineStr">
        <is>
          <t>全症例の0％〜24％程度</t>
        </is>
      </c>
      <c r="N277" s="3" t="inlineStr">
        <is>
          <t>全症例の25％〜49％程度</t>
        </is>
      </c>
      <c r="P277" s="3" t="inlineStr">
        <is>
          <t>全症例の0％〜24％程度</t>
        </is>
      </c>
      <c r="R277" s="3" t="inlineStr">
        <is>
          <t>全症例の0％〜24％程度</t>
        </is>
      </c>
      <c r="T277" s="3" t="inlineStr">
        <is>
          <t>膝伸展筋力, 歩行速度</t>
        </is>
      </c>
      <c r="V277" s="3" t="inlineStr">
        <is>
          <t>TUG</t>
        </is>
      </c>
      <c r="X277" s="3" t="inlineStr">
        <is>
          <t>実施していない</t>
        </is>
      </c>
      <c r="Z277" s="3" t="inlineStr">
        <is>
          <t>FIM</t>
        </is>
      </c>
      <c r="AB277" s="3" t="inlineStr">
        <is>
          <t>MMSE, HDS-R</t>
        </is>
      </c>
      <c r="AD277" s="3" t="inlineStr">
        <is>
          <t>開眼片脚立位時間, 認知機能, ベッド周囲および病室環境</t>
        </is>
      </c>
      <c r="AF277" s="3" t="inlineStr">
        <is>
          <t>決まっていない</t>
        </is>
      </c>
      <c r="AH277" s="3" t="inlineStr">
        <is>
          <t>科内で統一できていない</t>
        </is>
      </c>
      <c r="AI277" s="3" t="inlineStr">
        <is>
          <t>下肢筋力強化, バランス練習, 歩行練習, 環境調整, 補助具、装具の適正化</t>
        </is>
      </c>
    </row>
    <row r="278" ht="22.5" customHeight="1">
      <c r="A278" s="32" t="n">
        <v>46112.37985741898</v>
      </c>
      <c r="B278" s="3" t="inlineStr">
        <is>
          <t>溝口　勝己</t>
        </is>
      </c>
      <c r="C278" s="3" t="inlineStr">
        <is>
          <t>江戸川病院</t>
        </is>
      </c>
      <c r="D278" s="3" t="inlineStr">
        <is>
          <t>東京都</t>
        </is>
      </c>
      <c r="E278" s="3" t="inlineStr">
        <is>
          <t>k.mizoguti@edogawa.or.jp</t>
        </is>
      </c>
      <c r="F278" s="3" t="inlineStr">
        <is>
          <t>リハビリテーション科／理学療法士</t>
        </is>
      </c>
      <c r="G278" s="3" t="n">
        <v>280</v>
      </c>
      <c r="H278" s="3" t="n">
        <v>18</v>
      </c>
      <c r="I278" s="3" t="n">
        <v>10</v>
      </c>
      <c r="J278" s="3" t="inlineStr">
        <is>
          <t>届け出をしておらず、検討もしていない</t>
        </is>
      </c>
      <c r="K278" s="3" t="inlineStr">
        <is>
          <t>実施していない</t>
        </is>
      </c>
      <c r="L278" s="3" t="inlineStr">
        <is>
          <t>全症例の0％〜24％程度</t>
        </is>
      </c>
      <c r="N278" s="3" t="inlineStr">
        <is>
          <t>全症例の0％〜24％程度</t>
        </is>
      </c>
      <c r="P278" s="3" t="inlineStr">
        <is>
          <t>全症例の0％〜24％程度</t>
        </is>
      </c>
      <c r="R278" s="3" t="inlineStr">
        <is>
          <t>全症例の0％〜24％程度</t>
        </is>
      </c>
      <c r="T278" s="3" t="inlineStr">
        <is>
          <t>膝伸展筋力, 歩行速度, TUG, サルコペニアとしての評価は行っていない</t>
        </is>
      </c>
      <c r="V278" s="3" t="inlineStr">
        <is>
          <t>TUG, フレイルの評価としては行っていない</t>
        </is>
      </c>
      <c r="X278" s="3" t="inlineStr">
        <is>
          <t>立ち上がりテスト, 2ステップテスト, ロコモ25（質問票）</t>
        </is>
      </c>
      <c r="Z278" s="3" t="inlineStr">
        <is>
          <t>FIM</t>
        </is>
      </c>
      <c r="AB278" s="3" t="inlineStr">
        <is>
          <t>MMSE, HDS-R</t>
        </is>
      </c>
      <c r="AD278" s="3" t="inlineStr">
        <is>
          <t>TUG, 認知機能, 注意障害, 遂行機能, せん妄, 転倒恐怖感, 過去の転倒歴, 既往疾患の有無（脳血管疾患、パーキンソン病など）, 薬剤（向精神薬、降圧薬、利尿薬、ポリファーマシーなど）, ベッド周囲および病室環境</t>
        </is>
      </c>
      <c r="AF278" s="3" t="inlineStr">
        <is>
          <t>決まっていない</t>
        </is>
      </c>
      <c r="AH278" s="3" t="inlineStr">
        <is>
          <t>初回評価時、歩行の自立度拡大時に実施</t>
        </is>
      </c>
      <c r="AI278" s="3" t="inlineStr">
        <is>
          <t>下肢筋力強化, バランス練習, 歩行練習, 歩容改善, 起立、着座動作練習</t>
        </is>
      </c>
    </row>
    <row r="279" ht="22.5" customHeight="1">
      <c r="A279" s="32" t="n">
        <v>46112.41183732639</v>
      </c>
      <c r="B279" s="3" t="inlineStr">
        <is>
          <t>青島　健太</t>
        </is>
      </c>
      <c r="C279" s="3" t="inlineStr">
        <is>
          <t>島田市立総合医療センター</t>
        </is>
      </c>
      <c r="D279" s="3" t="inlineStr">
        <is>
          <t>静岡県</t>
        </is>
      </c>
      <c r="E279" s="3" t="inlineStr">
        <is>
          <t>ijika@shimada-gmc.jp</t>
        </is>
      </c>
      <c r="G279" s="3" t="n">
        <v>227</v>
      </c>
      <c r="H279" s="3" t="n">
        <v>18</v>
      </c>
      <c r="I279" s="3" t="n">
        <v>8</v>
      </c>
      <c r="J279" s="3" t="inlineStr">
        <is>
          <t>届け出をしておらず、検討もしていない</t>
        </is>
      </c>
      <c r="K279" s="3" t="inlineStr">
        <is>
          <t>関節可動域運動, 筋力増強運動, ポジショニング, 自主運動指導, 術後リハビリテーションのオリエンテーション</t>
        </is>
      </c>
      <c r="L279" s="3" t="inlineStr">
        <is>
          <t>全症例の75％〜100％程度</t>
        </is>
      </c>
      <c r="M279" s="3" t="inlineStr">
        <is>
          <t>手すりの使用、リハビリ前の痛み止めの内服、環境調整</t>
        </is>
      </c>
      <c r="N279" s="3" t="inlineStr">
        <is>
          <t>全症例の0％〜24％程度</t>
        </is>
      </c>
      <c r="P279" s="3" t="inlineStr">
        <is>
          <t>全症例の0％〜24％程度</t>
        </is>
      </c>
      <c r="R279" s="3" t="inlineStr">
        <is>
          <t>全症例の0％〜24％程度</t>
        </is>
      </c>
      <c r="T279" s="3" t="inlineStr">
        <is>
          <t>握力, 膝伸展筋力, 5回椅子立ち上がりテスト, 歩行速度, TUG, 開眼片脚立位時間, 下腿周径</t>
        </is>
      </c>
      <c r="V279" s="3" t="inlineStr">
        <is>
          <t>TUG, 認知機能, 握力</t>
        </is>
      </c>
      <c r="X279" s="3" t="inlineStr">
        <is>
          <t>立ち上がりテスト</t>
        </is>
      </c>
      <c r="Z279" s="3" t="inlineStr">
        <is>
          <t>Barthel Index（BI）, FIM</t>
        </is>
      </c>
      <c r="AB279" s="3" t="inlineStr">
        <is>
          <t>HDS-R</t>
        </is>
      </c>
      <c r="AD279" s="3" t="inlineStr">
        <is>
          <t>定量的な下肢筋力測定, 開眼片脚立位時間, TUG, 5回椅子立ち上がりテスト, 認知機能</t>
        </is>
      </c>
      <c r="AF279" s="3" t="inlineStr">
        <is>
          <t>決まっている</t>
        </is>
      </c>
      <c r="AG279" s="3" t="inlineStr">
        <is>
          <t>①退院後、外来初回時　②外来再診時</t>
        </is>
      </c>
      <c r="AI279" s="3" t="inlineStr">
        <is>
          <t>下肢筋力強化, バランス練習, 歩行練習, 歩容改善, 起立、着座動作練習, 環境調整, 補助具、装具の適正化, 認知面への介入, 行動面への介入, 教育、指導</t>
        </is>
      </c>
    </row>
    <row r="280" ht="22.5" customHeight="1">
      <c r="A280" s="32" t="n">
        <v>46112.44649122685</v>
      </c>
      <c r="B280" s="3" t="inlineStr">
        <is>
          <t>竹村柾俊</t>
        </is>
      </c>
      <c r="C280" s="3" t="inlineStr">
        <is>
          <t>四日市羽津医療センター</t>
        </is>
      </c>
      <c r="D280" s="3" t="inlineStr">
        <is>
          <t>三重県</t>
        </is>
      </c>
      <c r="E280" s="3" t="inlineStr">
        <is>
          <t>takemura-masatoshi@yokkaichi.jcho.go.jp</t>
        </is>
      </c>
      <c r="F280" s="3" t="inlineStr">
        <is>
          <t>リハビリテーション部/理学療法士</t>
        </is>
      </c>
      <c r="G280" s="3" t="n">
        <v>67</v>
      </c>
      <c r="H280" s="3" t="n">
        <v>8</v>
      </c>
      <c r="I280" s="3" t="n">
        <v>3</v>
      </c>
      <c r="J280" s="3" t="inlineStr">
        <is>
          <t>届け出をしておらず、検討もしていない</t>
        </is>
      </c>
      <c r="K280" s="3" t="inlineStr">
        <is>
          <t>関節可動域運動, 筋力増強運動, DVT予防, ポジショニング, 自主運動指導, 術後リハビリテーションのオリエンテーション, 離床（例：車椅子移乗,立位,歩行など）</t>
        </is>
      </c>
      <c r="L280" s="3" t="inlineStr">
        <is>
          <t>全症例の50％〜74％程度</t>
        </is>
      </c>
      <c r="M280" s="3" t="inlineStr">
        <is>
          <t>鎮痛薬、二人介助で行う</t>
        </is>
      </c>
      <c r="N280" s="3" t="inlineStr">
        <is>
          <t>全症例の50％〜74％程度</t>
        </is>
      </c>
      <c r="O280" s="3" t="inlineStr">
        <is>
          <t>実施するタイミングを遅らせる。鎮痛薬、二人介助で行う</t>
        </is>
      </c>
      <c r="P280" s="3" t="inlineStr">
        <is>
          <t>全症例の0％〜24％程度</t>
        </is>
      </c>
      <c r="R280" s="3" t="inlineStr">
        <is>
          <t>全症例の0％〜24％程度</t>
        </is>
      </c>
      <c r="T280" s="3" t="inlineStr">
        <is>
          <t>握力, 5回椅子立ち上がりテスト, 下腿周径, SARC-F</t>
        </is>
      </c>
      <c r="V280" s="3" t="inlineStr">
        <is>
          <t>認知機能, 握力</t>
        </is>
      </c>
      <c r="X280" s="3" t="inlineStr">
        <is>
          <t>立ち上がりテスト</t>
        </is>
      </c>
      <c r="Z280" s="3" t="inlineStr">
        <is>
          <t>FIM</t>
        </is>
      </c>
      <c r="AB280" s="3" t="inlineStr">
        <is>
          <t>MMSE, HDS-R</t>
        </is>
      </c>
      <c r="AD280" s="3" t="inlineStr">
        <is>
          <t>5回椅子立ち上がりテスト, 認知機能, 過去の転倒歴, Fall Risk Index</t>
        </is>
      </c>
      <c r="AF280" s="3" t="inlineStr">
        <is>
          <t>決まっている</t>
        </is>
      </c>
      <c r="AG280" s="3" t="inlineStr">
        <is>
          <t>術後1～2週間</t>
        </is>
      </c>
      <c r="AI280" s="3" t="inlineStr">
        <is>
          <t>下肢筋力強化, バランス練習, 歩行練習, 歩容改善, 起立、着座動作練習, 環境調整, 認知面への介入, 行動面への介入, 薬剤調整</t>
        </is>
      </c>
    </row>
    <row r="281" ht="22.5" customHeight="1">
      <c r="A281" s="32" t="n">
        <v>46112.48910451389</v>
      </c>
      <c r="B281" s="3" t="inlineStr">
        <is>
          <t>米田恭祐</t>
        </is>
      </c>
      <c r="C281" s="3" t="inlineStr">
        <is>
          <t>社会福祉法人恩賜財団済生会中和病院</t>
        </is>
      </c>
      <c r="D281" s="3" t="inlineStr">
        <is>
          <t>奈良県</t>
        </is>
      </c>
      <c r="E281" s="3" t="inlineStr">
        <is>
          <t>komekyo3@yahoo.co.jp</t>
        </is>
      </c>
      <c r="F281" s="3" t="inlineStr">
        <is>
          <t>リハビリテーション科/理学療法士</t>
        </is>
      </c>
      <c r="G281" s="3" t="n">
        <v>132</v>
      </c>
      <c r="H281" s="3" t="n">
        <v>13</v>
      </c>
      <c r="I281" s="3" t="n">
        <v>9</v>
      </c>
      <c r="J281" s="3" t="inlineStr">
        <is>
          <t>届け出をしておらず、検討もしていない</t>
        </is>
      </c>
      <c r="K281" s="3" t="inlineStr">
        <is>
          <t>関節可動域運動, 筋力増強運動, DVT予防, リラクセーション, ポジショニング, 自主運動指導, 術後リハビリテーションのオリエンテーション, 離床（例：車椅子移乗,立位,歩行など）</t>
        </is>
      </c>
      <c r="L281" s="3" t="inlineStr">
        <is>
          <t>全症例の75％〜100％程度</t>
        </is>
      </c>
      <c r="M281" s="3" t="inlineStr">
        <is>
          <t>離床前にアイシング、リラクセーションなどによるコンディショニングの実施</t>
        </is>
      </c>
      <c r="N281" s="3" t="inlineStr">
        <is>
          <t>全症例の50％〜74％程度</t>
        </is>
      </c>
      <c r="P281" s="3" t="inlineStr">
        <is>
          <t>全症例の0％〜24％程度</t>
        </is>
      </c>
      <c r="R281" s="3" t="inlineStr">
        <is>
          <t>全症例の0％〜24％程度</t>
        </is>
      </c>
      <c r="T281" s="3" t="inlineStr">
        <is>
          <t>握力, 膝伸展筋力, 5回椅子立ち上がりテスト, SPPB, TUG, 開眼片脚立位時間</t>
        </is>
      </c>
      <c r="V281" s="3" t="inlineStr">
        <is>
          <t>TUG, 握力</t>
        </is>
      </c>
      <c r="X281" s="3" t="inlineStr">
        <is>
          <t>実施していない</t>
        </is>
      </c>
      <c r="Y281" s="3" t="inlineStr">
        <is>
          <t>ロコモを調べるという観点では評価は実施していない。
評価を実施して結果ロコモに当てはまるということになる</t>
        </is>
      </c>
      <c r="Z281" s="3" t="inlineStr">
        <is>
          <t>Barthel Index（BI）, FIM</t>
        </is>
      </c>
      <c r="AB281" s="3" t="inlineStr">
        <is>
          <t>MMSE, HDS-R</t>
        </is>
      </c>
      <c r="AD281" s="3" t="inlineStr">
        <is>
          <t>開眼片脚立位時間, TUG, Berg Balance Scale（BBS）, SPPB、Functional Reach Test（FRT）, 認知機能, 過去の転倒歴, 薬剤（向精神薬、降圧薬、利尿薬、ポリファーマシーなど）</t>
        </is>
      </c>
      <c r="AF281" s="3" t="inlineStr">
        <is>
          <t>決まっていない</t>
        </is>
      </c>
      <c r="AH281" s="3" t="inlineStr">
        <is>
          <t>術後の経過により全員が同じ日数で評価を行えないため</t>
        </is>
      </c>
      <c r="AI281" s="3" t="inlineStr">
        <is>
          <t>下肢筋力強化, バランス練習, 歩行練習, 歩容改善, 起立、着座動作練習, 環境調整, 補助具、装具の適正化, 認知面への介入, 行動面への介入, 教育、指導</t>
        </is>
      </c>
    </row>
    <row r="282" ht="22.5" customHeight="1">
      <c r="A282" s="32" t="n">
        <v>46112.48946267361</v>
      </c>
      <c r="B282" s="3" t="inlineStr">
        <is>
          <t>植村周平</t>
        </is>
      </c>
      <c r="C282" s="3" t="inlineStr">
        <is>
          <t>JCHO九州病院</t>
        </is>
      </c>
      <c r="D282" s="3" t="inlineStr">
        <is>
          <t>福岡県</t>
        </is>
      </c>
      <c r="E282" s="3" t="inlineStr">
        <is>
          <t>s.uemura123@gmail.com</t>
        </is>
      </c>
      <c r="F282" s="3" t="inlineStr">
        <is>
          <t>理学療法士</t>
        </is>
      </c>
      <c r="G282" s="3" t="n">
        <v>120</v>
      </c>
      <c r="H282" s="3" t="n">
        <v>5</v>
      </c>
      <c r="I282" s="3" t="n">
        <v>6</v>
      </c>
      <c r="J282" s="3" t="inlineStr">
        <is>
          <t>届け出をしておらず、検討もしていない</t>
        </is>
      </c>
      <c r="K282" s="3" t="inlineStr">
        <is>
          <t>関節可動域運動, 筋力増強運動, 呼吸リハビリテーション, DVT予防, ポジショニング, 自主運動指導, 術後リハビリテーションのオリエンテーション</t>
        </is>
      </c>
      <c r="L282" s="3" t="inlineStr">
        <is>
          <t>全症例の75％〜100％程度</t>
        </is>
      </c>
      <c r="M282" s="3" t="inlineStr">
        <is>
          <t>リハ前に鎮痛剤の使用</t>
        </is>
      </c>
      <c r="N282" s="3" t="inlineStr">
        <is>
          <t>全症例の0％〜24％程度</t>
        </is>
      </c>
      <c r="P282" s="3" t="inlineStr">
        <is>
          <t>全症例の0％〜24％程度</t>
        </is>
      </c>
      <c r="R282" s="3" t="inlineStr">
        <is>
          <t>全症例の0％〜24％程度</t>
        </is>
      </c>
      <c r="T282" s="3" t="inlineStr">
        <is>
          <t>5回椅子立ち上がりテスト</t>
        </is>
      </c>
      <c r="V282" s="3" t="inlineStr">
        <is>
          <t>認知機能</t>
        </is>
      </c>
      <c r="X282" s="3" t="inlineStr">
        <is>
          <t>実施していない</t>
        </is>
      </c>
      <c r="Z282" s="3" t="inlineStr">
        <is>
          <t>Barthel Index（BI）</t>
        </is>
      </c>
      <c r="AB282" s="3" t="inlineStr">
        <is>
          <t>HDS-R, AMTS</t>
        </is>
      </c>
      <c r="AD282" s="3" t="inlineStr">
        <is>
          <t>開眼片脚立位時間, TUG, SPPB、Functional Reach Test（FRT）, 5回椅子立ち上がりテスト, 認知機能</t>
        </is>
      </c>
      <c r="AF282" s="3" t="inlineStr">
        <is>
          <t>決まっていない</t>
        </is>
      </c>
      <c r="AH282" s="3" t="inlineStr">
        <is>
          <t>症例の状況に応じて実施しているため</t>
        </is>
      </c>
      <c r="AI282" s="3" t="inlineStr">
        <is>
          <t>下肢筋力強化, バランス練習, 歩行練習, 歩容改善, 起立、着座動作練習, 環境調整, 補助具、装具の適正化, 認知面への介入</t>
        </is>
      </c>
    </row>
    <row r="283" ht="22.5" customHeight="1">
      <c r="A283" s="32" t="n">
        <v>46112.5402453588</v>
      </c>
      <c r="B283" s="3" t="inlineStr">
        <is>
          <t>吉崎　真由美</t>
        </is>
      </c>
      <c r="C283" s="3" t="inlineStr">
        <is>
          <t>済生会滋賀県病院</t>
        </is>
      </c>
      <c r="D283" s="3" t="inlineStr">
        <is>
          <t>滋賀県</t>
        </is>
      </c>
      <c r="E283" s="3" t="inlineStr">
        <is>
          <t>mayumi.0018@gmail.com</t>
        </is>
      </c>
      <c r="F283" s="3" t="inlineStr">
        <is>
          <t>リハビリテーション技術科</t>
        </is>
      </c>
      <c r="G283" s="3" t="n">
        <v>231</v>
      </c>
      <c r="H283" s="3" t="n">
        <v>22</v>
      </c>
      <c r="I283" s="3" t="n">
        <v>5</v>
      </c>
      <c r="J283" s="3" t="inlineStr">
        <is>
          <t>届け出はしていないが、現在検討中である</t>
        </is>
      </c>
      <c r="K283" s="3" t="inlineStr">
        <is>
          <t>関節可動域運動, 筋力増強運動, DVT予防, ポジショニング, 術後リハビリテーションのオリエンテーション, 離床（例：車椅子移乗,立位,歩行など）</t>
        </is>
      </c>
      <c r="L283" s="3" t="inlineStr">
        <is>
          <t>全症例の0％〜24％程度</t>
        </is>
      </c>
      <c r="N283" s="3" t="inlineStr">
        <is>
          <t>全症例の0％〜24％程度</t>
        </is>
      </c>
      <c r="P283" s="3" t="inlineStr">
        <is>
          <t>全症例の0％〜24％程度</t>
        </is>
      </c>
      <c r="R283" s="3" t="inlineStr">
        <is>
          <t>全症例の0％〜24％程度</t>
        </is>
      </c>
      <c r="T283" s="3" t="inlineStr">
        <is>
          <t>実施していない</t>
        </is>
      </c>
      <c r="U283" s="3" t="inlineStr">
        <is>
          <t>急性期において、評価をすることでリハビリテーションの内容に変化があるとは考えにくく、個人の状態によって対応することが望ましいと考えます。評価のための評価に手をかけず、訓練時間を有効に使いたい。急性期における予後予測として有効であるならば、検討したい。</t>
        </is>
      </c>
      <c r="V283" s="3" t="inlineStr">
        <is>
          <t>実施していない</t>
        </is>
      </c>
      <c r="W283" s="3" t="inlineStr">
        <is>
          <t>急性期において、評価をすることでリハビリテーションの内容に変化があるとは考えにくく、個人の状態によって対応することが望ましいと考えます。評価のための評価に手をかけず、訓練時間を有効に使いたい。急性期における予後予測として有効であるならば、検討したい。</t>
        </is>
      </c>
      <c r="X283" s="3" t="inlineStr">
        <is>
          <t>実施していない</t>
        </is>
      </c>
      <c r="Y283" s="3" t="inlineStr">
        <is>
          <t>急性期において、評価をすることでリハビリテーションの内容に変化があるとは考えにくく、個人の状態によって対応することが望ましいと考えます。評価のための評価に手をかけず、訓練時間を有効に使いたい。急性期における予後予測として有効であるならば、検討したい。</t>
        </is>
      </c>
      <c r="Z283" s="3" t="inlineStr">
        <is>
          <t>FIM</t>
        </is>
      </c>
      <c r="AB283" s="3" t="inlineStr">
        <is>
          <t>実施していない</t>
        </is>
      </c>
      <c r="AC283" s="3" t="inlineStr">
        <is>
          <t>看護師がAMTSを実施している</t>
        </is>
      </c>
      <c r="AD283" s="3" t="inlineStr">
        <is>
          <t>実施していない</t>
        </is>
      </c>
      <c r="AE283" s="3" t="inlineStr">
        <is>
          <t>決まった項目はなく、随時看護師と情報共有を行っている。</t>
        </is>
      </c>
      <c r="AI283" s="3" t="inlineStr">
        <is>
          <t>下肢筋力強化, バランス練習, 歩行練習, 起立、着座動作練習, 環境調整, 補助具、装具の適正化</t>
        </is>
      </c>
    </row>
    <row r="284" ht="22.5" customHeight="1">
      <c r="A284" s="32" t="n">
        <v>46112.58883195602</v>
      </c>
      <c r="B284" s="3" t="inlineStr">
        <is>
          <t>井関佑坪</t>
        </is>
      </c>
      <c r="C284" s="3" t="inlineStr">
        <is>
          <t>鳥取赤十字病院</t>
        </is>
      </c>
      <c r="D284" s="3" t="inlineStr">
        <is>
          <t>鳥取県</t>
        </is>
      </c>
      <c r="E284" s="3" t="inlineStr">
        <is>
          <t>reh-post@tottori-rc.com</t>
        </is>
      </c>
      <c r="F284" s="3" t="inlineStr">
        <is>
          <t>ﾘﾊﾋﾞﾘﾃｰｼｮﾝ課/理学療法士</t>
        </is>
      </c>
      <c r="G284" s="3" t="n">
        <v>197</v>
      </c>
      <c r="H284" s="3" t="n">
        <v>13</v>
      </c>
      <c r="I284" s="3" t="n">
        <v>4</v>
      </c>
      <c r="J284" s="3" t="inlineStr">
        <is>
          <t>届け出をしておらず、検討もしていない</t>
        </is>
      </c>
      <c r="K284" s="3" t="inlineStr">
        <is>
          <t>関節可動域運動, 筋力増強運動, 呼吸リハビリテーション, DVT予防, リラクセーション, ポジショニング, 自主運動指導, 術後リハビリテーションのオリエンテーション</t>
        </is>
      </c>
      <c r="L284" s="3" t="inlineStr">
        <is>
          <t>全症例の75％〜100％程度</t>
        </is>
      </c>
      <c r="M284" s="3" t="inlineStr">
        <is>
          <t>離床前の鎮痛薬の管理、ヘッドアップ等の環境設定、自助具など物理的な支持を用いる</t>
        </is>
      </c>
      <c r="N284" s="3" t="inlineStr">
        <is>
          <t>全症例の0％〜24％程度</t>
        </is>
      </c>
      <c r="P284" s="3" t="inlineStr">
        <is>
          <t>全症例の0％〜24％程度</t>
        </is>
      </c>
      <c r="R284" s="3" t="inlineStr">
        <is>
          <t>全症例の0％〜24％程度</t>
        </is>
      </c>
      <c r="T284" s="3" t="inlineStr">
        <is>
          <t>握力, 膝伸展筋力, 5回椅子立ち上がりテスト, 歩行速度, SPPB, TUG, 6分間歩行距離, 開眼片脚立位時間, 下腿周径, SARC-F, SARC-CalF</t>
        </is>
      </c>
      <c r="V284" s="3" t="inlineStr">
        <is>
          <t>TUG, 6分間歩行距離, 認知機能, 握力</t>
        </is>
      </c>
      <c r="X284" s="3" t="inlineStr">
        <is>
          <t>立ち上がりテスト, 2ステップテスト</t>
        </is>
      </c>
      <c r="Z284" s="3" t="inlineStr">
        <is>
          <t>Barthel Index（BI）, FIM</t>
        </is>
      </c>
      <c r="AB284" s="3" t="inlineStr">
        <is>
          <t>HDS-R, AMTS</t>
        </is>
      </c>
      <c r="AD284" s="3" t="inlineStr">
        <is>
          <t>実施していない</t>
        </is>
      </c>
      <c r="AE284" s="3" t="inlineStr">
        <is>
          <t>施設内では定めておらず、各スタッフが患者毎に適切な評価を実施するように取り組んでいる</t>
        </is>
      </c>
      <c r="AH284" s="3" t="inlineStr">
        <is>
          <t>患者毎に実施可能な評価が異なるため</t>
        </is>
      </c>
      <c r="AI284" s="3" t="inlineStr">
        <is>
          <t>下肢筋力強化, バランス練習, 歩行練習, 歩容改善, 起立、着座動作練習, 環境調整, 補助具、装具の適正化, 認知面への介入, 行動面への介入, 薬剤調整, 教育、指導</t>
        </is>
      </c>
    </row>
    <row r="285" ht="22.5" customHeight="1">
      <c r="A285" s="32" t="n">
        <v>46112.59963590278</v>
      </c>
      <c r="B285" s="3" t="inlineStr">
        <is>
          <t>酒井邦浩</t>
        </is>
      </c>
      <c r="C285" s="3" t="inlineStr">
        <is>
          <t>郡上市民病院</t>
        </is>
      </c>
      <c r="D285" s="3" t="inlineStr">
        <is>
          <t>岐阜県</t>
        </is>
      </c>
      <c r="E285" s="3" t="inlineStr">
        <is>
          <t>ku.sakai@city.gujo.lg.jp</t>
        </is>
      </c>
      <c r="F285" s="3" t="inlineStr">
        <is>
          <t>リハビリテーション科、理学療法士</t>
        </is>
      </c>
      <c r="G285" s="3" t="n">
        <v>48</v>
      </c>
      <c r="H285" s="3" t="n">
        <v>5</v>
      </c>
      <c r="I285" s="3" t="n">
        <v>0</v>
      </c>
      <c r="J285" s="3" t="inlineStr">
        <is>
          <t>届け出をしておらず、検討もしていない</t>
        </is>
      </c>
      <c r="K285" s="3" t="inlineStr">
        <is>
          <t>筋力増強運動</t>
        </is>
      </c>
      <c r="L285" s="3" t="inlineStr">
        <is>
          <t>全症例の0％〜24％程度</t>
        </is>
      </c>
      <c r="N285" s="3" t="inlineStr">
        <is>
          <t>全症例の0％〜24％程度</t>
        </is>
      </c>
      <c r="P285" s="3" t="inlineStr">
        <is>
          <t>全症例の0％〜24％程度</t>
        </is>
      </c>
      <c r="R285" s="3" t="inlineStr">
        <is>
          <t>全症例の0％〜24％程度</t>
        </is>
      </c>
      <c r="T285" s="3" t="inlineStr">
        <is>
          <t>握力</t>
        </is>
      </c>
      <c r="V285" s="3" t="inlineStr">
        <is>
          <t>握力</t>
        </is>
      </c>
      <c r="X285" s="3" t="inlineStr">
        <is>
          <t>実施していない</t>
        </is>
      </c>
      <c r="Y285" s="3" t="inlineStr">
        <is>
          <t>明確な理由はない</t>
        </is>
      </c>
      <c r="Z285" s="3" t="inlineStr">
        <is>
          <t>Barthel Index（BI）</t>
        </is>
      </c>
      <c r="AB285" s="3" t="inlineStr">
        <is>
          <t>実施していない</t>
        </is>
      </c>
      <c r="AC285" s="3" t="inlineStr">
        <is>
          <t>看護師が簡易認知症検査を行っているため</t>
        </is>
      </c>
      <c r="AD285" s="3" t="inlineStr">
        <is>
          <t>定量的な下肢筋力測定</t>
        </is>
      </c>
      <c r="AF285" s="3" t="inlineStr">
        <is>
          <t>決まっている</t>
        </is>
      </c>
      <c r="AG285" s="3" t="inlineStr">
        <is>
          <t>3週間目</t>
        </is>
      </c>
      <c r="AI285" s="3" t="inlineStr">
        <is>
          <t>下肢筋力強化, バランス練習, 歩行練習, 歩容改善, 起立、着座動作練習, 環境調整, 補助具、装具の適正化</t>
        </is>
      </c>
    </row>
    <row r="286" ht="22.5" customHeight="1">
      <c r="A286" s="32" t="n">
        <v>46112.62490186343</v>
      </c>
      <c r="B286" s="3" t="inlineStr">
        <is>
          <t>眞野　智一朗</t>
        </is>
      </c>
      <c r="C286" s="3" t="inlineStr">
        <is>
          <t>社会医療法人志仁会　三島中央病院</t>
        </is>
      </c>
      <c r="D286" s="3" t="inlineStr">
        <is>
          <t>静岡県</t>
        </is>
      </c>
      <c r="E286" s="3" t="inlineStr">
        <is>
          <t>reha@mchp.or.jp</t>
        </is>
      </c>
      <c r="G286" s="3" t="n">
        <v>100</v>
      </c>
      <c r="H286" s="3" t="n">
        <v>11</v>
      </c>
      <c r="I286" s="3" t="n">
        <v>2</v>
      </c>
      <c r="J286" s="3" t="inlineStr">
        <is>
          <t>届け出はしていないが、現在検討中である</t>
        </is>
      </c>
      <c r="K286" s="3" t="inlineStr">
        <is>
          <t>関節可動域運動, 筋力増強運動, DVT予防, リラクセーション, 自主運動指導, 術後リハビリテーションのオリエンテーション</t>
        </is>
      </c>
      <c r="L286" s="3" t="inlineStr">
        <is>
          <t>全症例の25％〜49％程度</t>
        </is>
      </c>
      <c r="N286" s="3" t="inlineStr">
        <is>
          <t>全症例の50％〜74％程度</t>
        </is>
      </c>
      <c r="O286" s="3" t="inlineStr">
        <is>
          <t>離床時間の確保</t>
        </is>
      </c>
      <c r="P286" s="3" t="inlineStr">
        <is>
          <t>全症例の25％〜49％程度</t>
        </is>
      </c>
      <c r="R286" s="3" t="inlineStr">
        <is>
          <t>全症例の25％〜49％程度</t>
        </is>
      </c>
      <c r="T286" s="3" t="inlineStr">
        <is>
          <t>握力, 膝伸展筋力, 5回椅子立ち上がりテスト, 歩行速度, 開眼片脚立位時間, 下腿周径</t>
        </is>
      </c>
      <c r="V286" s="3" t="inlineStr">
        <is>
          <t>認知機能, 握力</t>
        </is>
      </c>
      <c r="X286" s="3" t="inlineStr">
        <is>
          <t>立ち上がりテスト</t>
        </is>
      </c>
      <c r="Z286" s="3" t="inlineStr">
        <is>
          <t>Barthel Index（BI）</t>
        </is>
      </c>
      <c r="AB286" s="3" t="inlineStr">
        <is>
          <t>HDS-R, 簡易認知テスト</t>
        </is>
      </c>
      <c r="AD286" s="3" t="inlineStr">
        <is>
          <t>開眼片脚立位時間, 認知機能</t>
        </is>
      </c>
      <c r="AI286" s="3" t="inlineStr">
        <is>
          <t>下肢筋力強化, バランス練習, 歩行練習, 歩容改善, 起立、着座動作練習, 環境調整, 補助具、装具の適正化, 認知面への介入, 教育、指導</t>
        </is>
      </c>
    </row>
    <row r="287" ht="22.5" customHeight="1">
      <c r="A287" s="32" t="n">
        <v>46112.66361769676</v>
      </c>
      <c r="B287" s="3" t="inlineStr">
        <is>
          <t>藤井 和敬</t>
        </is>
      </c>
      <c r="C287" s="3" t="inlineStr">
        <is>
          <t>地方独立行政法人 岡山市立総合医療センター　岡山市立市民病院</t>
        </is>
      </c>
      <c r="D287" s="3" t="inlineStr">
        <is>
          <t>岡山県</t>
        </is>
      </c>
      <c r="E287" s="3" t="inlineStr">
        <is>
          <t>shimin_rihabiri@okayama-gmc.or.jp</t>
        </is>
      </c>
      <c r="F287" s="3" t="inlineStr">
        <is>
          <t>リハビリテーション技術科／理学療法士</t>
        </is>
      </c>
      <c r="G287" s="3" t="n">
        <v>184</v>
      </c>
      <c r="H287" s="3" t="n">
        <v>6</v>
      </c>
      <c r="I287" s="3" t="n">
        <v>0</v>
      </c>
      <c r="J287" s="3" t="inlineStr">
        <is>
          <t>現在、算定している</t>
        </is>
      </c>
      <c r="K287" s="3" t="inlineStr">
        <is>
          <t>DVT予防, ポジショニング, 自主運動指導</t>
        </is>
      </c>
      <c r="L287" s="3" t="inlineStr">
        <is>
          <t>全症例の50％〜74％程度</t>
        </is>
      </c>
      <c r="M287" s="3" t="inlineStr">
        <is>
          <t>鎮痛薬の検討。介入時間の検討（鎮痛薬の作用時間を考慮）。</t>
        </is>
      </c>
      <c r="N287" s="3" t="inlineStr">
        <is>
          <t>全症例の0％〜24％程度</t>
        </is>
      </c>
      <c r="P287" s="3" t="inlineStr">
        <is>
          <t>全症例の0％〜24％程度</t>
        </is>
      </c>
      <c r="R287" s="3" t="inlineStr">
        <is>
          <t>全症例の0％〜24％程度</t>
        </is>
      </c>
      <c r="T287" s="3" t="inlineStr">
        <is>
          <t>実施していない</t>
        </is>
      </c>
      <c r="U287" s="3" t="inlineStr">
        <is>
          <t>対象者の評価として行っている項目はあるが、サルコペニアの評価として実施していないから。</t>
        </is>
      </c>
      <c r="V287" s="3" t="inlineStr">
        <is>
          <t>J-CHS基準</t>
        </is>
      </c>
      <c r="X287" s="3" t="inlineStr">
        <is>
          <t>実施していない</t>
        </is>
      </c>
      <c r="Y287" s="3" t="inlineStr">
        <is>
          <t>ロコモティブシンドロームに関して、統一した評価基準を定めることができていないから。</t>
        </is>
      </c>
      <c r="Z287" s="3" t="inlineStr">
        <is>
          <t>Barthel Index（BI）</t>
        </is>
      </c>
      <c r="AB287" s="3" t="inlineStr">
        <is>
          <t>MMSE, HDS-R, AMTS</t>
        </is>
      </c>
      <c r="AD287" s="3" t="inlineStr">
        <is>
          <t>実施していない</t>
        </is>
      </c>
      <c r="AE287" s="3" t="inlineStr">
        <is>
          <t>PT/OTが評価している項目は多数あるが、FLS活動の一環として画一的な評価は実施できていないから。</t>
        </is>
      </c>
      <c r="AI287" s="3" t="inlineStr">
        <is>
          <t>下肢筋力強化, バランス練習, 歩行練習, 歩容改善, 起立、着座動作練習, 環境調整, 補助具、装具の適正化, 認知面への介入, 行動面への介入, 薬剤調整, 教育、指導</t>
        </is>
      </c>
    </row>
    <row r="288" ht="22.5" customHeight="1">
      <c r="A288" s="32" t="n">
        <v>46112.71264652778</v>
      </c>
      <c r="B288" s="3" t="inlineStr">
        <is>
          <t>古澤隆雄</t>
        </is>
      </c>
      <c r="C288" s="3" t="inlineStr">
        <is>
          <t>北摂総合病院</t>
        </is>
      </c>
      <c r="D288" s="3" t="inlineStr">
        <is>
          <t>大阪府</t>
        </is>
      </c>
      <c r="E288" s="3" t="inlineStr">
        <is>
          <t>furusawa@hokusetsu-hp.jp</t>
        </is>
      </c>
      <c r="F288" s="3" t="inlineStr">
        <is>
          <t>リハビリテーション科/理学療法士</t>
        </is>
      </c>
      <c r="G288" s="3" t="n">
        <v>185</v>
      </c>
      <c r="H288" s="3" t="n">
        <v>11</v>
      </c>
      <c r="I288" s="3" t="n">
        <v>5</v>
      </c>
      <c r="J288" s="3" t="inlineStr">
        <is>
          <t>届け出はしていないが、現在検討中である</t>
        </is>
      </c>
      <c r="K288" s="3" t="inlineStr">
        <is>
          <t>関節可動域運動, 筋力増強運動, DVT予防, ポジショニング, 自主運動指導, 術後リハビリテーションのオリエンテーション</t>
        </is>
      </c>
      <c r="L288" s="3" t="inlineStr">
        <is>
          <t>全症例の50％〜74％程度</t>
        </is>
      </c>
      <c r="N288" s="3" t="inlineStr">
        <is>
          <t>全症例の50％〜74％程度</t>
        </is>
      </c>
      <c r="P288" s="3" t="inlineStr">
        <is>
          <t>全症例の25％〜49％程度</t>
        </is>
      </c>
      <c r="R288" s="3" t="inlineStr">
        <is>
          <t>全症例の25％〜49％程度</t>
        </is>
      </c>
      <c r="T288" s="3" t="inlineStr">
        <is>
          <t>握力, 膝伸展筋力, 5回椅子立ち上がりテスト, 歩行速度</t>
        </is>
      </c>
      <c r="V288" s="3" t="inlineStr">
        <is>
          <t>TUG, 認知機能, 握力</t>
        </is>
      </c>
      <c r="X288" s="3" t="inlineStr">
        <is>
          <t>立ち上がりテスト, 2ステップテスト, ロコモ25（質問票）</t>
        </is>
      </c>
      <c r="Z288" s="3" t="inlineStr">
        <is>
          <t>Barthel Index（BI）</t>
        </is>
      </c>
      <c r="AB288" s="3" t="inlineStr">
        <is>
          <t>MMSE, AMTS</t>
        </is>
      </c>
      <c r="AD288" s="3" t="inlineStr">
        <is>
          <t>TUG, 5回椅子立ち上がりテスト, 認知機能, ベッド周囲および病室環境</t>
        </is>
      </c>
      <c r="AF288" s="3" t="inlineStr">
        <is>
          <t>決まっている</t>
        </is>
      </c>
      <c r="AG288" s="3" t="inlineStr">
        <is>
          <t>術後7日目　術後14日目</t>
        </is>
      </c>
      <c r="AI288" s="3" t="inlineStr">
        <is>
          <t>下肢筋力強化, バランス練習, 歩行練習, 歩容改善, 起立、着座動作練習, 環境調整, 認知面への介入, 教育、指導</t>
        </is>
      </c>
    </row>
    <row r="289" ht="22.5" customHeight="1">
      <c r="A289" s="32" t="n">
        <v>46112.73569282408</v>
      </c>
      <c r="B289" s="3" t="inlineStr">
        <is>
          <t>玉城　翼</t>
        </is>
      </c>
      <c r="C289" s="3" t="inlineStr">
        <is>
          <t>沖縄赤十字病院</t>
        </is>
      </c>
      <c r="D289" s="3" t="inlineStr">
        <is>
          <t>沖縄県</t>
        </is>
      </c>
      <c r="E289" s="3" t="inlineStr">
        <is>
          <t>gskbb22@gmail.com</t>
        </is>
      </c>
      <c r="F289" s="3" t="inlineStr">
        <is>
          <t>リハビリテーション科/理学療法士</t>
        </is>
      </c>
      <c r="G289" s="3" t="n">
        <v>150</v>
      </c>
      <c r="H289" s="3" t="n">
        <v>8</v>
      </c>
      <c r="I289" s="3" t="n">
        <v>0</v>
      </c>
      <c r="J289" s="3" t="inlineStr">
        <is>
          <t>届け出はしていないが、現在検討中である</t>
        </is>
      </c>
      <c r="K289" s="3" t="inlineStr">
        <is>
          <t>実施していない</t>
        </is>
      </c>
      <c r="L289" s="3" t="inlineStr">
        <is>
          <t>全症例の25％〜49％程度</t>
        </is>
      </c>
      <c r="N289" s="3" t="inlineStr">
        <is>
          <t>全症例の25％〜49％程度</t>
        </is>
      </c>
      <c r="P289" s="3" t="inlineStr">
        <is>
          <t>全症例の0％〜24％程度</t>
        </is>
      </c>
      <c r="R289" s="3" t="inlineStr">
        <is>
          <t>全症例の0％〜24％程度</t>
        </is>
      </c>
      <c r="T289" s="3" t="inlineStr">
        <is>
          <t>SPPB</t>
        </is>
      </c>
      <c r="V289" s="3" t="inlineStr">
        <is>
          <t>実施していない</t>
        </is>
      </c>
      <c r="X289" s="3" t="inlineStr">
        <is>
          <t>実施していない</t>
        </is>
      </c>
      <c r="Z289" s="3" t="inlineStr">
        <is>
          <t>Barthel Index（BI）</t>
        </is>
      </c>
      <c r="AB289" s="3" t="inlineStr">
        <is>
          <t>MMSE</t>
        </is>
      </c>
      <c r="AD289" s="3" t="inlineStr">
        <is>
          <t>SPPB、Functional Reach Test（FRT）, 過去の転倒歴</t>
        </is>
      </c>
      <c r="AF289" s="3" t="inlineStr">
        <is>
          <t>決まっていない</t>
        </is>
      </c>
      <c r="AI289" s="3" t="inlineStr">
        <is>
          <t>下肢筋力強化, バランス練習, 歩行練習, 歩容改善, 起立、着座動作練習, 環境調整, 補助具、装具の適正化, 教育、指導</t>
        </is>
      </c>
    </row>
    <row r="290" ht="22.5" customHeight="1">
      <c r="A290" s="32" t="n">
        <v>46112.80305716435</v>
      </c>
      <c r="B290" s="3" t="inlineStr">
        <is>
          <t>相島　孝行</t>
        </is>
      </c>
      <c r="C290" s="3" t="inlineStr">
        <is>
          <t>伊万里有田共立病院</t>
        </is>
      </c>
      <c r="D290" s="3" t="inlineStr">
        <is>
          <t>佐賀県</t>
        </is>
      </c>
      <c r="E290" s="3" t="inlineStr">
        <is>
          <t>riha@imari-arita-hp.or.jp</t>
        </is>
      </c>
      <c r="F290" s="3" t="inlineStr">
        <is>
          <t>リハビリテーション科　理学療法士</t>
        </is>
      </c>
      <c r="G290" s="3" t="n">
        <v>97</v>
      </c>
      <c r="H290" s="3" t="n">
        <v>9</v>
      </c>
      <c r="I290" s="3" t="n">
        <v>0</v>
      </c>
      <c r="J290" s="3" t="inlineStr">
        <is>
          <t>届け出をしておらず、検討もしていない</t>
        </is>
      </c>
      <c r="K290" s="3" t="inlineStr">
        <is>
          <t>DVT予防, ポジショニング, 術後リハビリテーションのオリエンテーション</t>
        </is>
      </c>
      <c r="L290" s="3" t="inlineStr">
        <is>
          <t>全症例の50％〜74％程度</t>
        </is>
      </c>
      <c r="M290" s="3" t="inlineStr">
        <is>
          <t>疼痛コントロール</t>
        </is>
      </c>
      <c r="N290" s="3" t="inlineStr">
        <is>
          <t>全症例の0％〜24％程度</t>
        </is>
      </c>
      <c r="P290" s="3" t="inlineStr">
        <is>
          <t>全症例の25％〜49％程度</t>
        </is>
      </c>
      <c r="R290" s="3" t="inlineStr">
        <is>
          <t>全症例の0％〜24％程度</t>
        </is>
      </c>
      <c r="T290" s="3" t="inlineStr">
        <is>
          <t>握力, 膝伸展筋力, 5回椅子立ち上がりテスト, 歩行速度, TUG, 6分間歩行距離, 開眼片脚立位時間, 下腿周径</t>
        </is>
      </c>
      <c r="V290" s="3" t="inlineStr">
        <is>
          <t>TUG, 6分間歩行距離, 認知機能, 握力</t>
        </is>
      </c>
      <c r="X290" s="3" t="inlineStr">
        <is>
          <t>立ち上がりテスト</t>
        </is>
      </c>
      <c r="Z290" s="3" t="inlineStr">
        <is>
          <t>Barthel Index（BI）, FIM</t>
        </is>
      </c>
      <c r="AB290" s="3" t="inlineStr">
        <is>
          <t>MMSE, HDS-R, AMTS</t>
        </is>
      </c>
      <c r="AD290" s="3" t="inlineStr">
        <is>
          <t>開眼片脚立位時間, TUG, 10m歩行速度, Berg Balance Scale（BBS）, SPPB、Functional Reach Test（FRT）, 認知機能, 過去の転倒歴</t>
        </is>
      </c>
      <c r="AF290" s="3" t="inlineStr">
        <is>
          <t>決まっていない</t>
        </is>
      </c>
      <c r="AH290" s="3" t="inlineStr">
        <is>
          <t>バランス能力に個人差があるため。</t>
        </is>
      </c>
      <c r="AI290" s="3" t="inlineStr">
        <is>
          <t>下肢筋力強化, バランス練習, 歩行練習, 歩容改善, 起立、着座動作練習, 環境調整, 補助具、装具の適正化, 認知面への介入, 行動面への介入, 教育、指導</t>
        </is>
      </c>
    </row>
    <row r="291" ht="22.5" customHeight="1">
      <c r="A291" s="32" t="n">
        <v>46112.86057675926</v>
      </c>
      <c r="B291" s="3" t="inlineStr">
        <is>
          <t>大谷浩樹</t>
        </is>
      </c>
      <c r="C291" s="3" t="inlineStr">
        <is>
          <t>福井総合病院</t>
        </is>
      </c>
      <c r="D291" s="3" t="inlineStr">
        <is>
          <t>福井県</t>
        </is>
      </c>
      <c r="E291" s="3" t="inlineStr">
        <is>
          <t>fsmsc@f-gh.jp</t>
        </is>
      </c>
      <c r="F291" s="3" t="inlineStr">
        <is>
          <t>リハビリテーション課／理学療法士</t>
        </is>
      </c>
      <c r="G291" s="3" t="n">
        <v>127</v>
      </c>
      <c r="H291" s="3" t="n">
        <v>39</v>
      </c>
      <c r="I291" s="3" t="n">
        <v>34</v>
      </c>
      <c r="J291" s="3" t="inlineStr">
        <is>
          <t>届け出はしていないが、現在検討中である</t>
        </is>
      </c>
      <c r="K291" s="3" t="inlineStr">
        <is>
          <t>関節可動域運動, 筋力増強運動, DVT予防, リラクセーション, ポジショニング, 自主運動指導</t>
        </is>
      </c>
      <c r="L291" s="3" t="inlineStr">
        <is>
          <t>全症例の25％〜49％程度</t>
        </is>
      </c>
      <c r="N291" s="3" t="inlineStr">
        <is>
          <t>全症例の0％〜24％程度</t>
        </is>
      </c>
      <c r="P291" s="3" t="inlineStr">
        <is>
          <t>全症例の0％〜24％程度</t>
        </is>
      </c>
      <c r="R291" s="3" t="inlineStr">
        <is>
          <t>全症例の0％〜24％程度</t>
        </is>
      </c>
      <c r="T291" s="3" t="inlineStr">
        <is>
          <t>実施していない</t>
        </is>
      </c>
      <c r="U291" s="3" t="inlineStr">
        <is>
          <t>評価している項目はあるが、サルコペニアを評価しているわけではない。</t>
        </is>
      </c>
      <c r="V291" s="3" t="inlineStr">
        <is>
          <t xml:space="preserve">実施していない, </t>
        </is>
      </c>
      <c r="W291" s="3" t="inlineStr">
        <is>
          <t>評価している項目はあるが、フレイルを評価しているわけではない</t>
        </is>
      </c>
      <c r="X291" s="3" t="inlineStr">
        <is>
          <t>実施していない</t>
        </is>
      </c>
      <c r="Y291" s="3" t="inlineStr">
        <is>
          <t>認知機能の影響で、実施できない事が多いので。</t>
        </is>
      </c>
      <c r="Z291" s="3" t="inlineStr">
        <is>
          <t>Barthel Index（BI）, FIM</t>
        </is>
      </c>
      <c r="AB291" s="3" t="inlineStr">
        <is>
          <t>HDS-R</t>
        </is>
      </c>
      <c r="AD291" s="3" t="inlineStr">
        <is>
          <t>実施していない</t>
        </is>
      </c>
      <c r="AE291" s="3" t="inlineStr">
        <is>
          <t>評価している項目はあるが、FLSの一環ではない。</t>
        </is>
      </c>
      <c r="AI291" s="3" t="inlineStr">
        <is>
          <t>下肢筋力強化, バランス練習, 歩行練習, 歩容改善, 起立、着座動作練習, 環境調整, 補助具、装具の適正化, 認知面への介入, 行動面への介入, 教育、指導</t>
        </is>
      </c>
    </row>
  </sheetData>
  <conditionalFormatting sqref="C1:C1048576">
    <cfRule type="duplicateValues" priority="1" dxfId="8"/>
  </conditionalFormatting>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AJ290"/>
  <sheetViews>
    <sheetView tabSelected="1" workbookViewId="0">
      <pane ySplit="1" topLeftCell="A195" activePane="bottomLeft" state="frozen"/>
      <selection pane="bottomLeft" activeCell="G1" sqref="G1:G290"/>
    </sheetView>
  </sheetViews>
  <sheetFormatPr baseColWidth="8" defaultColWidth="12.6640625" defaultRowHeight="15.75" customHeight="1"/>
  <cols>
    <col width="18.88671875" customWidth="1" min="1" max="4"/>
    <col width="23.44140625" customWidth="1" min="5" max="5"/>
    <col width="18.88671875" customWidth="1" min="6" max="6"/>
    <col width="37.6640625" customWidth="1" min="7" max="11"/>
    <col width="25.21875" customWidth="1" min="12" max="12"/>
    <col width="35.6640625" customWidth="1" min="13" max="13"/>
    <col width="29.6640625" customWidth="1" min="14" max="14"/>
    <col width="35.6640625" customWidth="1" min="15" max="15"/>
    <col width="31.77734375" customWidth="1" min="16" max="16"/>
    <col width="35.6640625" customWidth="1" min="17" max="17"/>
    <col width="35.33203125" customWidth="1" min="18" max="18"/>
    <col width="35.6640625" customWidth="1" min="19" max="19"/>
    <col width="37.6640625" customWidth="1" min="20" max="20"/>
    <col width="28.33203125" customWidth="1" min="21" max="21"/>
    <col width="37.6640625" customWidth="1" min="22" max="22"/>
    <col width="28.33203125" customWidth="1" min="23" max="23"/>
    <col width="37.6640625" customWidth="1" min="24" max="24"/>
    <col width="28.33203125" customWidth="1" min="25" max="25"/>
    <col width="37.6640625" customWidth="1" min="26" max="26"/>
    <col width="28.33203125" customWidth="1" min="27" max="27"/>
    <col width="37.6640625" customWidth="1" min="28" max="28"/>
    <col width="28.33203125" customWidth="1" min="29" max="29"/>
    <col width="37.6640625" customWidth="1" min="30" max="30"/>
    <col width="28.33203125" customWidth="1" min="31" max="31"/>
    <col width="37.6640625" customWidth="1" min="32" max="32"/>
    <col width="30.6640625" customWidth="1" min="33" max="33"/>
    <col width="29.77734375" customWidth="1" min="34" max="34"/>
    <col width="36.109375" customWidth="1" min="35" max="35"/>
    <col width="28.33203125" customWidth="1" min="36" max="36"/>
    <col width="18.88671875" customWidth="1" min="37" max="42"/>
  </cols>
  <sheetData>
    <row r="1" ht="22.5" customHeight="1">
      <c r="A1" s="1" t="inlineStr">
        <is>
          <t>タイムスタンプ</t>
        </is>
      </c>
      <c r="B1" s="1" t="inlineStr">
        <is>
          <t xml:space="preserve">回答代表者ご氏名 </t>
        </is>
      </c>
      <c r="C1" s="1" t="inlineStr">
        <is>
          <t xml:space="preserve">ご所属施設名 </t>
        </is>
      </c>
      <c r="D1" s="1" t="inlineStr">
        <is>
          <t xml:space="preserve">ご施設の都道府県 </t>
        </is>
      </c>
      <c r="E1" s="1" t="inlineStr">
        <is>
          <t>貴院の理学療法士・作業療法士の代表者メールアドレス</t>
        </is>
      </c>
      <c r="F1" s="1" t="inlineStr">
        <is>
          <t xml:space="preserve">ご所属部署名・職種（任意） </t>
        </is>
      </c>
      <c r="G1" s="1" t="inlineStr">
        <is>
          <t>Q1.  2025年1月～12月における大腿骨近位部骨折の症例数を教えてください。（※保存加療症例を含む）</t>
        </is>
      </c>
      <c r="H1" s="1" t="inlineStr">
        <is>
          <t>Q2.  2025年1月～12月の期間において、大腿骨近位部骨折を担当した理学療法士（PT）の在籍人数を教えてください。</t>
        </is>
      </c>
      <c r="I1" s="1" t="inlineStr">
        <is>
          <t>Q3.  2025年1月～12月の期間において、大腿骨近位部骨折を担当した作業療法士（OT）の在籍人数を教えてください。</t>
        </is>
      </c>
      <c r="J1" s="1" t="inlineStr">
        <is>
          <t>Q4.  整形外科病棟における「リハビリテーション・栄養・口腔連携体制加算」の算定状況について、令和8年度診療報酬改定の発表前の時点でお答えください。【単一選択】</t>
        </is>
      </c>
      <c r="K1" s="1" t="inlineStr">
        <is>
          <t>Q5.  手術前リハビリテーションで理学療法士または作業療法士が実施している内容を教えてください。【複数選択可】</t>
        </is>
      </c>
      <c r="L1" s="1" t="inlineStr">
        <is>
          <t>Q6.  身体機能（疼痛、筋力低下など）が原因による制限
【4段階評価】</t>
        </is>
      </c>
      <c r="M1" s="1" t="inlineStr">
        <is>
          <t>Q6-1.  「50％〜74％」「75％〜100％」を選択した方にお尋ねします。
→立位が可能になるために貴施設で取り組んでいる対応策を教えてください。【自由記述】</t>
        </is>
      </c>
      <c r="N1" s="1" t="inlineStr">
        <is>
          <t>Q7.  精神・認知機能（認知機能低下、せん妄など）が原因による制限
【4段階評価】</t>
        </is>
      </c>
      <c r="O1" s="1" t="inlineStr">
        <is>
          <t>Q7-1.  「50％〜74％」「75％〜100％」を選択した方にお尋ねします。
→立位が可能になるために貴施設で取り組んでいる対応策を教えてください。【自由記述】</t>
        </is>
      </c>
      <c r="P1" s="1" t="inlineStr">
        <is>
          <t>Q8.  全身状態（呼吸・循環障害、貧血、電解質異常など）が原因による制限
【4段階評価】</t>
        </is>
      </c>
      <c r="Q1" s="1" t="inlineStr">
        <is>
          <t>Q8-1.  「50％〜74％」「75％〜100％」を選択した方にお尋ねします。
→立位が可能になるために貴施設で取り組んでいる対応策を教えてください。【自由記述】</t>
        </is>
      </c>
      <c r="R1" s="1" t="inlineStr">
        <is>
          <t>Q9.  環境的要因（ベッド配置、病室環境、動線などが起因するもの）が原因による制限
【4段階評価】</t>
        </is>
      </c>
      <c r="S1" s="1" t="inlineStr">
        <is>
          <t>Q9-1.  「50％〜74％」「75％〜100％」を選択した方にお尋ねします。
→立位が可能になるために貴施設で取り組んでいる対応策を教えてください。【自由記述】</t>
        </is>
      </c>
      <c r="T1" s="1" t="inlineStr">
        <is>
          <t>Q10． サルコペニアの評価として理学療法士または作業療法士が実施している評価項目を教えてください。
【複数選択可】</t>
        </is>
      </c>
      <c r="U1" s="1" t="inlineStr">
        <is>
          <t>Q10-1 ※「実施していない」を選択した方におたずねします。
→ 実施していない理由を教えてください。【自由記述】</t>
        </is>
      </c>
      <c r="V1" s="1" t="inlineStr">
        <is>
          <t>Q11． フレイルの評価として理学療法士または作業療法士が実施している評価項目を教えてください。
【複数選択可】</t>
        </is>
      </c>
      <c r="W1" s="1" t="inlineStr">
        <is>
          <t>Q11-1 ※「実施していない」を選択した方におたずねします。
→ 実施していない理由を教えてください。【自由記述】</t>
        </is>
      </c>
      <c r="X1" s="1" t="inlineStr">
        <is>
          <t>Q12． ロコモティブシンドロームの評価として理学療法士または作業療法士が実施している評価項目を教えてください。
【複数選択可】</t>
        </is>
      </c>
      <c r="Y1" s="1" t="inlineStr">
        <is>
          <t>Q12-1 ※「実施していない」を選択した方におたずねします。
→ 実施していない理由を教えてください。【自由記述】</t>
        </is>
      </c>
      <c r="Z1" s="1" t="inlineStr">
        <is>
          <t>Q13． ADLの評価として理学療法士または作業療法士が実施している評価項目を教えてください。
【複数選択可】</t>
        </is>
      </c>
      <c r="AA1" s="1" t="inlineStr">
        <is>
          <t>Q13-1 ※「実施していない」を選択した方におたずねします。
→ 実施していない理由を教えてください。【自由記述】</t>
        </is>
      </c>
      <c r="AB1" s="1" t="inlineStr">
        <is>
          <t>Q14． 認知機能の評価として理学,作業療法士または言語聴覚士が実施している評価項目を教えてください。
【複数選択可】</t>
        </is>
      </c>
      <c r="AC1" s="1" t="inlineStr">
        <is>
          <t>Q14-1 ※「実施していない」を選択した方におたずねします。
→ 実施していない理由を教えてください。【自由記述】</t>
        </is>
      </c>
      <c r="AD1" s="1" t="inlineStr">
        <is>
          <t>Q15． 貴施設のFLS活動の一環として、理学療法士または作業療法士が実施することが施設内で定められている転倒リスク評価項目があれば教えてください。
【複数選択可】</t>
        </is>
      </c>
      <c r="AE1" s="1" t="inlineStr">
        <is>
          <t>Q15-1 ※「実施していない」を選択した方におたずねします。
→ 実施していない理由を教えてください。【自由記述】</t>
        </is>
      </c>
      <c r="AF1" s="1" t="inlineStr">
        <is>
          <t>Q15-2 ※「実施している」方におたずねします。
→   評価を実施する時期（術後何日目など）は貴施設のFLS活動として決められていますか。【単一選択】</t>
        </is>
      </c>
      <c r="AG1" s="1" t="inlineStr">
        <is>
          <t>Q15-2-1 ※「決まっている」を選択した方におたずねします。
術後何日目に実施することが決められているか教えてください。【自由記述】</t>
        </is>
      </c>
      <c r="AH1" s="1" t="inlineStr">
        <is>
          <t>Q15-2-2 ※「決まっていない」を選択した方におたずねします。
→ 決まっていない理由を教えてください。【自由記述】</t>
        </is>
      </c>
      <c r="AI1" s="1" t="inlineStr">
        <is>
          <t>Q16． 理学療法士または作業療法士が実施している転倒予防策について教えてください。
【複数選択可】</t>
        </is>
      </c>
      <c r="AJ1" s="1" t="inlineStr">
        <is>
          <t>Q16-1 ※「実施していない」を選択した方におたずねします。
→ 実施していない理由を教えてください。【自由記述】</t>
        </is>
      </c>
    </row>
    <row r="2" ht="22.5" customHeight="1">
      <c r="A2" s="32" t="n">
        <v>46066.4234608912</v>
      </c>
      <c r="B2" s="3" t="inlineStr">
        <is>
          <t>高野義隆</t>
        </is>
      </c>
      <c r="C2" s="3" t="inlineStr">
        <is>
          <t>新潟リハビリテーション病院</t>
        </is>
      </c>
      <c r="D2" s="3" t="inlineStr">
        <is>
          <t>新潟県</t>
        </is>
      </c>
      <c r="E2" s="3" t="inlineStr">
        <is>
          <t>yoshitaka.takano@aiko.or.jp</t>
        </is>
      </c>
      <c r="F2" s="3" t="inlineStr">
        <is>
          <t>リハビリテーション部/理学療法士</t>
        </is>
      </c>
      <c r="G2" s="3" t="n">
        <v>160</v>
      </c>
      <c r="H2" s="3" t="n">
        <v>28</v>
      </c>
      <c r="I2" s="3" t="n">
        <v>18</v>
      </c>
      <c r="J2" s="3" t="inlineStr">
        <is>
          <t>届け出をしておらず、検討もしていない</t>
        </is>
      </c>
      <c r="K2" s="3" t="inlineStr">
        <is>
          <t>関節可動域運動, 筋力増強運動, ポジショニング</t>
        </is>
      </c>
      <c r="L2" s="3" t="inlineStr">
        <is>
          <t>全症例の25％〜49％程度</t>
        </is>
      </c>
      <c r="M2" s="3" t="n"/>
      <c r="N2" s="3" t="inlineStr">
        <is>
          <t>全症例の25％〜49％程度</t>
        </is>
      </c>
      <c r="O2" s="3" t="n"/>
      <c r="P2" s="3" t="inlineStr">
        <is>
          <t>全症例の25％〜49％程度</t>
        </is>
      </c>
      <c r="Q2" s="3" t="n"/>
      <c r="R2" s="3" t="inlineStr">
        <is>
          <t>全症例の0％〜24％程度</t>
        </is>
      </c>
      <c r="S2" s="3" t="n"/>
      <c r="T2" s="3" t="inlineStr">
        <is>
          <t>握力, 5回椅子立ち上がりテスト, 歩行速度, SPPB, TUG, 6分間歩行距離</t>
        </is>
      </c>
      <c r="U2" s="3" t="n"/>
      <c r="V2" s="3" t="inlineStr">
        <is>
          <t>TUG, 6分間歩行距離, 認知機能</t>
        </is>
      </c>
      <c r="W2" s="3" t="n"/>
      <c r="X2" s="3" t="inlineStr">
        <is>
          <t>実施していない</t>
        </is>
      </c>
      <c r="Y2" s="3" t="inlineStr">
        <is>
          <t>適応となる患者が少ない</t>
        </is>
      </c>
      <c r="Z2" s="3" t="inlineStr">
        <is>
          <t>FIM</t>
        </is>
      </c>
      <c r="AA2" s="3" t="n"/>
      <c r="AB2" s="3" t="inlineStr">
        <is>
          <t>MMSE, AMTS</t>
        </is>
      </c>
      <c r="AC2" s="3" t="n"/>
      <c r="AD2" s="3" t="inlineStr">
        <is>
          <t>TUG, SPPB、Functional Reach Test（FRT）, 5回椅子立ち上がりテスト, 認知機能, せん妄, 過去の転倒歴, 既往疾患の有無（脳血管疾患、パーキンソン病など）, 薬剤（向精神薬、降圧薬、利尿薬、ポリファーマシーなど）, ベッド周囲および病室環境</t>
        </is>
      </c>
      <c r="AE2" s="3" t="n"/>
      <c r="AF2" s="3" t="inlineStr">
        <is>
          <t>決まっている</t>
        </is>
      </c>
      <c r="AG2" s="3" t="inlineStr">
        <is>
          <t>１４日目</t>
        </is>
      </c>
      <c r="AH2" s="3" t="n"/>
      <c r="AI2" s="3" t="inlineStr">
        <is>
          <t>下肢筋力強化, バランス練習, 歩行練習, 起立、着座動作練習, 環境調整, 補助具、装具の適正化, 認知面への介入, 教育、指導</t>
        </is>
      </c>
      <c r="AJ2" s="3" t="n"/>
    </row>
    <row r="3" ht="22.5" customHeight="1">
      <c r="A3" s="32" t="n">
        <v>46068.89989141204</v>
      </c>
      <c r="B3" s="3" t="inlineStr">
        <is>
          <t>田中暢一</t>
        </is>
      </c>
      <c r="C3" s="3" t="inlineStr">
        <is>
          <t>ベルランド総合病院</t>
        </is>
      </c>
      <c r="D3" s="3" t="inlineStr">
        <is>
          <t>大阪府</t>
        </is>
      </c>
      <c r="E3" s="3" t="inlineStr">
        <is>
          <t>goddess.arisa.showmaking@gmail.com</t>
        </is>
      </c>
      <c r="F3" s="3" t="inlineStr">
        <is>
          <t>理学療法室/理学療法士</t>
        </is>
      </c>
      <c r="G3" s="3" t="n">
        <v>290</v>
      </c>
      <c r="H3" s="3" t="n">
        <v>18</v>
      </c>
      <c r="I3" s="3" t="n">
        <v>8</v>
      </c>
      <c r="J3" s="3" t="inlineStr">
        <is>
          <t>届け出をしておらず、検討もしていない</t>
        </is>
      </c>
      <c r="K3" s="3" t="inlineStr">
        <is>
          <t>関節可動域運動, 筋力増強運動, DVT予防, リラクセーション, ポジショニング, 自主運動指導, 術後リハビリテーションのオリエンテーション</t>
        </is>
      </c>
      <c r="L3" s="3" t="inlineStr">
        <is>
          <t>全症例の0％〜24％程度</t>
        </is>
      </c>
      <c r="N3" s="3" t="inlineStr">
        <is>
          <t>全症例の0％〜24％程度</t>
        </is>
      </c>
      <c r="P3" s="3" t="inlineStr">
        <is>
          <t>全症例の0％〜24％程度</t>
        </is>
      </c>
      <c r="R3" s="3" t="inlineStr">
        <is>
          <t>全症例の0％〜24％程度</t>
        </is>
      </c>
      <c r="T3" s="3" t="inlineStr">
        <is>
          <t>握力, 開眼片脚立位時間, 下腿周径</t>
        </is>
      </c>
      <c r="V3" s="3" t="inlineStr">
        <is>
          <t>握力</t>
        </is>
      </c>
      <c r="X3" s="3" t="inlineStr">
        <is>
          <t>ロコモ25（質問票）</t>
        </is>
      </c>
      <c r="Z3" s="3" t="inlineStr">
        <is>
          <t>Barthel Index（BI）, FIM</t>
        </is>
      </c>
      <c r="AB3" s="3" t="inlineStr">
        <is>
          <t>MMSE, HDS-R</t>
        </is>
      </c>
      <c r="AD3" s="3" t="inlineStr">
        <is>
          <t>開眼片脚立位時間, 認知機能, 過去の転倒歴, SIDE</t>
        </is>
      </c>
      <c r="AF3" s="3" t="inlineStr">
        <is>
          <t>決まっている</t>
        </is>
      </c>
      <c r="AG3" s="3" t="inlineStr">
        <is>
          <t>7日目</t>
        </is>
      </c>
      <c r="AI3" s="3" t="inlineStr">
        <is>
          <t>下肢筋力強化, バランス練習, 歩行練習, 起立、着座動作練習, 環境調整, 補助具、装具の適正化, 認知面への介入, 教育、指導</t>
        </is>
      </c>
    </row>
    <row r="4" ht="22.5" customHeight="1">
      <c r="A4" s="32" t="n">
        <v>46069.04015446759</v>
      </c>
      <c r="B4" s="3" t="inlineStr">
        <is>
          <t>丸貴仁</t>
        </is>
      </c>
      <c r="C4" s="3" t="inlineStr">
        <is>
          <t>所沢白翔会病院</t>
        </is>
      </c>
      <c r="D4" s="3" t="inlineStr">
        <is>
          <t>埼玉県</t>
        </is>
      </c>
      <c r="E4" s="3" t="inlineStr">
        <is>
          <t>t.maru@hakusyoukai.com</t>
        </is>
      </c>
      <c r="F4" s="3" t="inlineStr">
        <is>
          <t>リハビリテーション科、事務部／理学療法士</t>
        </is>
      </c>
      <c r="G4" s="3" t="n">
        <v>60</v>
      </c>
      <c r="H4" s="3" t="n">
        <v>13</v>
      </c>
      <c r="I4" s="3" t="n">
        <v>6</v>
      </c>
      <c r="J4" s="3" t="inlineStr">
        <is>
          <t>届け出はしていないが、現在検討中である</t>
        </is>
      </c>
      <c r="K4" s="3" t="inlineStr">
        <is>
          <t>関節可動域運動, 筋力増強運動, DVT予防, リラクセーション, ポジショニング, 自主運動指導, 術後リハビリテーションのオリエンテーション</t>
        </is>
      </c>
      <c r="L4" s="3" t="inlineStr">
        <is>
          <t>全症例の75％〜100％程度</t>
        </is>
      </c>
      <c r="M4" s="3" t="inlineStr">
        <is>
          <t>術前リハビリ（受傷前ADL確認含め）、医師等との情報交換</t>
        </is>
      </c>
      <c r="N4" s="3" t="inlineStr">
        <is>
          <t>全症例の0％〜24％程度</t>
        </is>
      </c>
      <c r="P4" s="3" t="inlineStr">
        <is>
          <t>全症例の0％〜24％程度</t>
        </is>
      </c>
      <c r="R4" s="3" t="inlineStr">
        <is>
          <t>全症例の0％〜24％程度</t>
        </is>
      </c>
      <c r="T4" s="3" t="inlineStr">
        <is>
          <t>握力, 5回椅子立ち上がりテスト, 歩行速度, TUG, 開眼片脚立位時間, 骨格筋量指数（SMI）</t>
        </is>
      </c>
      <c r="V4" s="3" t="inlineStr">
        <is>
          <t>Kihon Checklist（基本チェックリスト）, TUG, 認知機能, 抑うつや意欲低下</t>
        </is>
      </c>
      <c r="X4" s="3" t="inlineStr">
        <is>
          <t>立ち上がりテスト</t>
        </is>
      </c>
      <c r="Z4" s="3" t="inlineStr">
        <is>
          <t>Barthel Index（BI）, FIM</t>
        </is>
      </c>
      <c r="AB4" s="3" t="inlineStr">
        <is>
          <t>MMSE, AMTS</t>
        </is>
      </c>
      <c r="AD4" s="3" t="inlineStr">
        <is>
          <t>定量的な下肢筋力測定, 開眼片脚立位時間, TUG, 10m歩行速度, 深部感覚評価, 認知機能, 過去の転倒歴, 既往疾患の有無（脳血管疾患、パーキンソン病など）, 薬剤（向精神薬、降圧薬、利尿薬、ポリファーマシーなど）, ベッド周囲および病室環境</t>
        </is>
      </c>
      <c r="AF4" s="3" t="inlineStr">
        <is>
          <t>決まっている</t>
        </is>
      </c>
      <c r="AG4" s="3" t="inlineStr">
        <is>
          <t>可能となった日</t>
        </is>
      </c>
      <c r="AI4" s="3" t="inlineStr">
        <is>
          <t>下肢筋力強化, バランス練習, 歩行練習, 歩容改善, 起立、着座動作練習, 環境調整, 補助具、装具の適正化, 認知面への介入, 薬剤調整, 教育、指導</t>
        </is>
      </c>
    </row>
    <row r="5" ht="22.5" customHeight="1">
      <c r="A5" s="32" t="n">
        <v>46069.13621177083</v>
      </c>
      <c r="B5" s="3" t="inlineStr">
        <is>
          <t>吉井智晴</t>
        </is>
      </c>
      <c r="C5" s="3" t="inlineStr">
        <is>
          <t>東京医療病院</t>
        </is>
      </c>
      <c r="D5" s="3" t="inlineStr">
        <is>
          <t>東京都</t>
        </is>
      </c>
      <c r="E5" s="3" t="inlineStr">
        <is>
          <t>c-yoshii@u-ths.ac.jp</t>
        </is>
      </c>
      <c r="F5" s="3" t="inlineStr">
        <is>
          <t>リハビリテーション学科　理学療法士</t>
        </is>
      </c>
      <c r="G5" s="3" t="n">
        <v>100</v>
      </c>
      <c r="H5" s="3" t="n">
        <v>15</v>
      </c>
      <c r="I5" s="3" t="n">
        <v>6</v>
      </c>
      <c r="J5" s="3" t="inlineStr">
        <is>
          <t>現在、算定している</t>
        </is>
      </c>
      <c r="K5" s="3" t="inlineStr">
        <is>
          <t>筋力増強運動, 術後リハビリテーションのオリエンテーション</t>
        </is>
      </c>
      <c r="L5" s="3" t="inlineStr">
        <is>
          <t>全症例の25％〜49％程度</t>
        </is>
      </c>
      <c r="N5" s="3" t="inlineStr">
        <is>
          <t>全症例の50％〜74％程度</t>
        </is>
      </c>
      <c r="P5" s="3" t="inlineStr">
        <is>
          <t>全症例の25％〜49％程度</t>
        </is>
      </c>
      <c r="R5" s="3" t="inlineStr">
        <is>
          <t>全症例の25％〜49％程度</t>
        </is>
      </c>
      <c r="T5" s="3" t="inlineStr">
        <is>
          <t>握力, 膝伸展筋力</t>
        </is>
      </c>
      <c r="V5" s="3" t="inlineStr">
        <is>
          <t>J-CHS基準, Kihon Checklist（基本チェックリスト）</t>
        </is>
      </c>
      <c r="X5" s="3" t="inlineStr">
        <is>
          <t>ロコモ25（質問票）</t>
        </is>
      </c>
      <c r="Z5" s="3" t="inlineStr">
        <is>
          <t>Barthel Index（BI）</t>
        </is>
      </c>
      <c r="AB5" s="3" t="inlineStr">
        <is>
          <t>HDS-R</t>
        </is>
      </c>
      <c r="AD5" s="3" t="inlineStr">
        <is>
          <t>10m歩行速度</t>
        </is>
      </c>
      <c r="AF5" s="3" t="inlineStr">
        <is>
          <t>決まっている</t>
        </is>
      </c>
      <c r="AI5" s="3" t="inlineStr">
        <is>
          <t>下肢筋力強化, バランス練習</t>
        </is>
      </c>
    </row>
    <row r="6" ht="22.5" customHeight="1">
      <c r="A6" s="32" t="n">
        <v>46069.46085237269</v>
      </c>
      <c r="B6" s="3" t="inlineStr">
        <is>
          <t>渡邊啓太</t>
        </is>
      </c>
      <c r="C6" s="3" t="inlineStr">
        <is>
          <t>国家公務員共済組合連合会呉共済病院</t>
        </is>
      </c>
      <c r="D6" s="3" t="inlineStr">
        <is>
          <t>広島県</t>
        </is>
      </c>
      <c r="E6" s="3" t="inlineStr">
        <is>
          <t>tabe19891204@gmail.com</t>
        </is>
      </c>
      <c r="F6" s="3" t="inlineStr">
        <is>
          <t>リハビリテーション科／理学療法士</t>
        </is>
      </c>
      <c r="G6" s="3" t="n">
        <v>168</v>
      </c>
      <c r="H6" s="3" t="n">
        <v>6</v>
      </c>
      <c r="I6" s="3" t="n">
        <v>8</v>
      </c>
      <c r="J6" s="3" t="inlineStr">
        <is>
          <t>届け出をしておらず、検討もしていない</t>
        </is>
      </c>
      <c r="K6" s="3" t="inlineStr">
        <is>
          <t>関節可動域運動, 筋力増強運動, DVT予防, ポジショニング, 自主運動指導, 術後リハビリテーションのオリエンテーション</t>
        </is>
      </c>
      <c r="L6" s="3" t="inlineStr">
        <is>
          <t>全症例の25％〜49％程度</t>
        </is>
      </c>
      <c r="N6" s="3" t="inlineStr">
        <is>
          <t>全症例の25％〜49％程度</t>
        </is>
      </c>
      <c r="P6" s="3" t="inlineStr">
        <is>
          <t>全症例の25％〜49％程度</t>
        </is>
      </c>
      <c r="R6" s="3" t="inlineStr">
        <is>
          <t>全症例の25％〜49％程度</t>
        </is>
      </c>
      <c r="T6" s="3" t="inlineStr">
        <is>
          <t>握力, 膝伸展筋力, 歩行速度, 開眼片脚立位時間, 骨格筋量指数（SMI）</t>
        </is>
      </c>
      <c r="V6" s="3" t="inlineStr">
        <is>
          <t>認知機能, 握力</t>
        </is>
      </c>
      <c r="X6" s="3" t="inlineStr">
        <is>
          <t>実施していない</t>
        </is>
      </c>
      <c r="Z6" s="3" t="inlineStr">
        <is>
          <t>Barthel Index（BI）, FIM</t>
        </is>
      </c>
      <c r="AB6" s="3" t="inlineStr">
        <is>
          <t>HDS-R, AMTS</t>
        </is>
      </c>
      <c r="AD6" s="3" t="inlineStr">
        <is>
          <t>定量的な下肢筋力測定, 開眼片脚立位時間, 10m歩行速度, 認知機能, 過去の転倒歴</t>
        </is>
      </c>
      <c r="AF6" s="3" t="inlineStr">
        <is>
          <t>決まっている</t>
        </is>
      </c>
      <c r="AG6" s="3" t="inlineStr">
        <is>
          <t>14日目</t>
        </is>
      </c>
      <c r="AI6" s="3" t="inlineStr">
        <is>
          <t>下肢筋力強化, バランス練習, 歩行練習, 起立、着座動作練習, 環境調整, 補助具、装具の適正化, 認知面への介入, 教育、指導</t>
        </is>
      </c>
    </row>
    <row r="7" ht="22.5" customHeight="1">
      <c r="A7" s="32" t="n">
        <v>46083.63325314815</v>
      </c>
      <c r="B7" s="3" t="inlineStr">
        <is>
          <t>上原　光司</t>
        </is>
      </c>
      <c r="C7" s="3" t="inlineStr">
        <is>
          <t>社会医療法人愛仁会　高槻病院</t>
        </is>
      </c>
      <c r="D7" s="3" t="inlineStr">
        <is>
          <t>大阪府</t>
        </is>
      </c>
      <c r="E7" s="3" t="inlineStr">
        <is>
          <t>uehara.kouji@aijinkai-group.com</t>
        </is>
      </c>
      <c r="F7" s="3" t="inlineStr">
        <is>
          <t>リハビリテーション科　理学療法士</t>
        </is>
      </c>
      <c r="G7" s="3" t="n">
        <v>100</v>
      </c>
      <c r="H7" s="3" t="n">
        <v>25</v>
      </c>
      <c r="I7" s="3" t="n">
        <v>10</v>
      </c>
      <c r="J7" s="3" t="inlineStr">
        <is>
          <t>現在、算定している</t>
        </is>
      </c>
      <c r="K7" s="3" t="inlineStr">
        <is>
          <t>関節可動域運動, 筋力増強運動, 呼吸リハビリテーション, DVT予防, ポジショニング, 自主運動指導, 術後リハビリテーションのオリエンテーション</t>
        </is>
      </c>
      <c r="L7" s="3" t="inlineStr">
        <is>
          <t>全症例の25％〜49％程度</t>
        </is>
      </c>
      <c r="N7" s="3" t="inlineStr">
        <is>
          <t>全症例の0％〜24％程度</t>
        </is>
      </c>
      <c r="P7" s="3" t="inlineStr">
        <is>
          <t>全症例の0％〜24％程度</t>
        </is>
      </c>
      <c r="R7" s="3" t="inlineStr">
        <is>
          <t>全症例の0％〜24％程度</t>
        </is>
      </c>
      <c r="T7" s="3" t="inlineStr">
        <is>
          <t>膝伸展筋力, 歩行速度, 骨格筋量指数（SMI）</t>
        </is>
      </c>
      <c r="V7" s="3" t="inlineStr">
        <is>
          <t>実施していない</t>
        </is>
      </c>
      <c r="X7" s="3" t="inlineStr">
        <is>
          <t>実施していない</t>
        </is>
      </c>
      <c r="Z7" s="3" t="inlineStr">
        <is>
          <t>FIM</t>
        </is>
      </c>
      <c r="AB7" s="3" t="inlineStr">
        <is>
          <t>MMSE</t>
        </is>
      </c>
      <c r="AD7" s="3" t="inlineStr">
        <is>
          <t>定量的な下肢筋力測定</t>
        </is>
      </c>
      <c r="AF7" s="3" t="inlineStr">
        <is>
          <t>わからない</t>
        </is>
      </c>
      <c r="AI7" s="3" t="inlineStr">
        <is>
          <t>下肢筋力強化, バランス練習, 歩行練習</t>
        </is>
      </c>
    </row>
    <row r="8" ht="22.5" customHeight="1">
      <c r="A8" s="32" t="n">
        <v>46083.66343230324</v>
      </c>
      <c r="B8" s="3" t="inlineStr">
        <is>
          <t>芝原孝治</t>
        </is>
      </c>
      <c r="C8" s="3" t="inlineStr">
        <is>
          <t>済生会兵庫県病院</t>
        </is>
      </c>
      <c r="D8" s="3" t="inlineStr">
        <is>
          <t>兵庫県</t>
        </is>
      </c>
      <c r="E8" s="3" t="inlineStr">
        <is>
          <t>shiba20131946@gmail.com</t>
        </is>
      </c>
      <c r="F8" s="3" t="inlineStr">
        <is>
          <t>芝原孝治</t>
        </is>
      </c>
      <c r="G8" s="3" t="n">
        <v>146</v>
      </c>
      <c r="H8" s="3" t="n">
        <v>11</v>
      </c>
      <c r="I8" s="3" t="n">
        <v>1</v>
      </c>
      <c r="J8" s="3" t="inlineStr">
        <is>
          <t>届け出はしていないが、現在検討中である</t>
        </is>
      </c>
      <c r="K8" s="3" t="inlineStr">
        <is>
          <t>DVT予防, ポジショニング, 自主運動指導, 術後リハビリテーションのオリエンテーション, 認知機能評価</t>
        </is>
      </c>
      <c r="L8" s="3" t="inlineStr">
        <is>
          <t>全症例の75％〜100％程度</t>
        </is>
      </c>
      <c r="M8" s="3" t="inlineStr">
        <is>
          <t>基本的に術後翌日は疼痛が強いことが多くパスで端座位までとしており、認知機能低下やせん妄予防のため指示がある際に車椅子移乗まで実施している。</t>
        </is>
      </c>
      <c r="N8" s="3" t="inlineStr">
        <is>
          <t>全症例の0％〜24％程度</t>
        </is>
      </c>
      <c r="P8" s="3" t="inlineStr">
        <is>
          <t>全症例の0％〜24％程度</t>
        </is>
      </c>
      <c r="R8" s="3" t="inlineStr">
        <is>
          <t>全症例の0％〜24％程度</t>
        </is>
      </c>
      <c r="T8" s="3" t="inlineStr">
        <is>
          <t>5回椅子立ち上がりテスト, 歩行速度, SPPB, TUG, 6分間歩行距離, 下腿周径</t>
        </is>
      </c>
      <c r="V8" s="3" t="inlineStr">
        <is>
          <t>TUG, 6分間歩行距離, 認知機能</t>
        </is>
      </c>
      <c r="X8" s="3" t="inlineStr">
        <is>
          <t>実施していない</t>
        </is>
      </c>
      <c r="Y8" s="3" t="inlineStr">
        <is>
          <t>これまではロコモ外来がなく、リハビリを提供していなかったため</t>
        </is>
      </c>
      <c r="Z8" s="3" t="inlineStr">
        <is>
          <t>Barthel Index（BI）, FIM</t>
        </is>
      </c>
      <c r="AB8" s="3" t="inlineStr">
        <is>
          <t>MMSE, HDS-R, AMTS</t>
        </is>
      </c>
      <c r="AD8" s="3" t="inlineStr">
        <is>
          <t>定量的な下肢筋力測定, TUG, 10m歩行速度, SPPB、Functional Reach Test（FRT）, 認知機能, 過去の転倒歴, 既往疾患の有無（脳血管疾患、パーキンソン病など）, 薬剤（向精神薬、降圧薬、利尿薬、ポリファーマシーなど）, ベッド周囲および病室環境</t>
        </is>
      </c>
      <c r="AF8" s="3" t="inlineStr">
        <is>
          <t>決まっている</t>
        </is>
      </c>
      <c r="AG8" s="3" t="inlineStr">
        <is>
          <t>術前1日目にAMTS、転倒歴、既往歴など評価し、術後歩行が可能になった時期に応じて歩行速度など実施。</t>
        </is>
      </c>
      <c r="AI8" s="3" t="inlineStr">
        <is>
          <t>下肢筋力強化, バランス練習, 歩行練習, 歩容改善, 起立、着座動作練習, 環境調整, 補助具、装具の適正化, 認知面への介入, 行動面への介入, 薬剤調整, 教育、指導</t>
        </is>
      </c>
    </row>
    <row r="9" ht="22.5" customHeight="1">
      <c r="A9" s="32" t="n">
        <v>46083.66898871528</v>
      </c>
      <c r="B9" s="3" t="inlineStr">
        <is>
          <t>中野圭介</t>
        </is>
      </c>
      <c r="C9" s="3" t="inlineStr">
        <is>
          <t>藤沢市民病院</t>
        </is>
      </c>
      <c r="D9" s="3" t="inlineStr">
        <is>
          <t>神奈川県</t>
        </is>
      </c>
      <c r="E9" s="3" t="inlineStr">
        <is>
          <t>nakano.k0423@gmail.com</t>
        </is>
      </c>
      <c r="F9" s="3" t="inlineStr">
        <is>
          <t>理学療法士</t>
        </is>
      </c>
      <c r="G9" s="3" t="n">
        <v>20</v>
      </c>
      <c r="H9" s="3" t="n">
        <v>5</v>
      </c>
      <c r="I9" s="3" t="n">
        <v>0</v>
      </c>
      <c r="J9" s="3" t="inlineStr">
        <is>
          <t>届け出はしていないが、現在検討中である</t>
        </is>
      </c>
      <c r="K9" s="3" t="inlineStr">
        <is>
          <t>実施していない</t>
        </is>
      </c>
      <c r="L9" s="3" t="inlineStr">
        <is>
          <t>全症例の0％〜24％程度</t>
        </is>
      </c>
      <c r="N9" s="3" t="inlineStr">
        <is>
          <t>全症例の0％〜24％程度</t>
        </is>
      </c>
      <c r="P9" s="3" t="inlineStr">
        <is>
          <t>全症例の0％〜24％程度</t>
        </is>
      </c>
      <c r="R9" s="3" t="inlineStr">
        <is>
          <t>全症例の0％〜24％程度</t>
        </is>
      </c>
      <c r="T9" s="3" t="inlineStr">
        <is>
          <t>実施していない</t>
        </is>
      </c>
      <c r="U9" s="3" t="inlineStr">
        <is>
          <t>栄養面では栄養士がやっている</t>
        </is>
      </c>
      <c r="V9" s="3" t="inlineStr">
        <is>
          <t>実施していない</t>
        </is>
      </c>
      <c r="X9" s="3" t="inlineStr">
        <is>
          <t>実施していない</t>
        </is>
      </c>
      <c r="Y9" s="3" t="inlineStr">
        <is>
          <t>必要を感じていない</t>
        </is>
      </c>
      <c r="Z9" s="3" t="inlineStr">
        <is>
          <t>Barthel Index（BI）</t>
        </is>
      </c>
      <c r="AB9" s="3" t="inlineStr">
        <is>
          <t>MMSE, HDS-R</t>
        </is>
      </c>
      <c r="AD9" s="3" t="inlineStr">
        <is>
          <t>認知機能, 注意障害, せん妄</t>
        </is>
      </c>
      <c r="AF9" s="3" t="inlineStr">
        <is>
          <t>決まっていない</t>
        </is>
      </c>
      <c r="AH9" s="3" t="inlineStr">
        <is>
          <t>特に理由はない</t>
        </is>
      </c>
      <c r="AI9" s="3" t="inlineStr">
        <is>
          <t>下肢筋力強化, バランス練習, 歩行練習, 歩容改善, 起立、着座動作練習, 環境調整, 補助具、装具の適正化, 認知面への介入, 行動面への介入, 薬剤調整, 教育、指導</t>
        </is>
      </c>
    </row>
    <row r="10" ht="22.5" customHeight="1">
      <c r="A10" s="32" t="n">
        <v>46083.69629487269</v>
      </c>
      <c r="B10" s="3" t="inlineStr">
        <is>
          <t>寺井　真人</t>
        </is>
      </c>
      <c r="C10" s="3" t="inlineStr">
        <is>
          <t>社会医療法人蒼生会蒼生病院</t>
        </is>
      </c>
      <c r="D10" s="3" t="inlineStr">
        <is>
          <t>大阪府</t>
        </is>
      </c>
      <c r="E10" s="3" t="inlineStr">
        <is>
          <t>riha@sousei-hp.jp</t>
        </is>
      </c>
      <c r="F10" s="3" t="inlineStr">
        <is>
          <t>リハビリテーション科　作業療法士</t>
        </is>
      </c>
      <c r="G10" s="3" t="n">
        <v>125</v>
      </c>
      <c r="H10" s="3" t="n">
        <v>9</v>
      </c>
      <c r="I10" s="3" t="n">
        <v>2</v>
      </c>
      <c r="J10" s="3" t="inlineStr">
        <is>
          <t>届け出はしているが、算定していない</t>
        </is>
      </c>
      <c r="K10" s="3" t="inlineStr">
        <is>
          <t>関節可動域運動, 筋力増強運動, 術後リハビリテーションのオリエンテーション</t>
        </is>
      </c>
      <c r="L10" s="3" t="inlineStr">
        <is>
          <t>全症例の0％〜24％程度</t>
        </is>
      </c>
      <c r="N10" s="3" t="inlineStr">
        <is>
          <t>全症例の50％〜74％程度</t>
        </is>
      </c>
      <c r="O10" s="3" t="inlineStr">
        <is>
          <t>対策はできていないです。指示が入らず拒否が強いことが多いです。</t>
        </is>
      </c>
      <c r="P10" s="3" t="inlineStr">
        <is>
          <t>全症例の0％〜24％程度</t>
        </is>
      </c>
      <c r="R10" s="3" t="inlineStr">
        <is>
          <t>全症例の0％〜24％程度</t>
        </is>
      </c>
      <c r="T10" s="3" t="inlineStr">
        <is>
          <t>握力, 5回椅子立ち上がりテスト, TUG, 開眼片脚立位時間, MNA-SF</t>
        </is>
      </c>
      <c r="V10" s="3" t="inlineStr">
        <is>
          <t>認知機能, 握力</t>
        </is>
      </c>
      <c r="X10" s="3" t="inlineStr">
        <is>
          <t>実施していない</t>
        </is>
      </c>
      <c r="Y10" s="3" t="inlineStr">
        <is>
          <t>フレイルとサルコペニアで対応しています</t>
        </is>
      </c>
      <c r="Z10" s="3" t="inlineStr">
        <is>
          <t>Barthel Index（BI）</t>
        </is>
      </c>
      <c r="AB10" s="3" t="inlineStr">
        <is>
          <t>MMSE, AMTS</t>
        </is>
      </c>
      <c r="AD10" s="3" t="inlineStr">
        <is>
          <t>開眼片脚立位時間, TUG, 5回椅子立ち上がりテスト, 認知機能</t>
        </is>
      </c>
      <c r="AF10" s="3" t="inlineStr">
        <is>
          <t>決まっていない</t>
        </is>
      </c>
      <c r="AH10" s="3" t="inlineStr">
        <is>
          <t>各患者状態が違うため。退院1週前～で評価することが多いです</t>
        </is>
      </c>
      <c r="AI10" s="3" t="inlineStr">
        <is>
          <t>下肢筋力強化, バランス練習, 歩行練習, 歩容改善, 起立、着座動作練習, 環境調整, 補助具、装具の適正化, 認知面への介入, 教育、指導</t>
        </is>
      </c>
    </row>
    <row r="11" ht="22.5" customHeight="1">
      <c r="A11" s="32" t="n">
        <v>46083.70474636574</v>
      </c>
      <c r="B11" s="3" t="inlineStr">
        <is>
          <t>高橋智子</t>
        </is>
      </c>
      <c r="C11" s="3" t="inlineStr">
        <is>
          <t>国立長寿医療研究センター</t>
        </is>
      </c>
      <c r="D11" s="3" t="inlineStr">
        <is>
          <t>愛知県</t>
        </is>
      </c>
      <c r="E11" s="3" t="inlineStr">
        <is>
          <t>ttomoko@ncgg.go.jp</t>
        </is>
      </c>
      <c r="F11" s="3" t="inlineStr">
        <is>
          <t>リハビリテーション科部　理学療法士</t>
        </is>
      </c>
      <c r="G11" s="3" t="n">
        <v>75</v>
      </c>
      <c r="H11" s="3" t="n">
        <v>9</v>
      </c>
      <c r="I11" s="3" t="n">
        <v>3</v>
      </c>
      <c r="J11" s="3" t="inlineStr">
        <is>
          <t>現在、算定している</t>
        </is>
      </c>
      <c r="K11" s="3" t="inlineStr">
        <is>
          <t>関節可動域運動, リラクセーション, ポジショニング</t>
        </is>
      </c>
      <c r="L11" s="3" t="inlineStr">
        <is>
          <t>全症例の0％〜24％程度</t>
        </is>
      </c>
      <c r="N11" s="3" t="inlineStr">
        <is>
          <t>全症例の50％〜74％程度</t>
        </is>
      </c>
      <c r="P11" s="3" t="inlineStr">
        <is>
          <t>全症例の25％〜49％程度</t>
        </is>
      </c>
      <c r="R11" s="3" t="inlineStr">
        <is>
          <t>全症例の25％〜49％程度</t>
        </is>
      </c>
      <c r="S11" s="3" t="inlineStr">
        <is>
          <t>初回離床はセラピストが介入するようにし、その場で環境設定をおこないます</t>
        </is>
      </c>
      <c r="T11" s="3" t="inlineStr">
        <is>
          <t>握力, 膝伸展筋力, 歩行速度, SPPB, 骨格筋量指数（SMI）, 下腿周径</t>
        </is>
      </c>
      <c r="V11" s="3" t="inlineStr">
        <is>
          <t>TUG, 認知機能, 握力</t>
        </is>
      </c>
      <c r="X11" s="3" t="inlineStr">
        <is>
          <t>2ステップテスト</t>
        </is>
      </c>
      <c r="Z11" s="3" t="inlineStr">
        <is>
          <t>Barthel Index（BI）, FIM</t>
        </is>
      </c>
      <c r="AB11" s="3" t="inlineStr">
        <is>
          <t>MMSE</t>
        </is>
      </c>
      <c r="AD11" s="3" t="inlineStr">
        <is>
          <t>TUG, 10m歩行速度, SPPB、Functional Reach Test（FRT）, 認知機能, 注意障害, 過去の転倒歴, SIDE</t>
        </is>
      </c>
      <c r="AF11" s="3" t="inlineStr">
        <is>
          <t>決まっていない</t>
        </is>
      </c>
      <c r="AH11" s="3" t="inlineStr">
        <is>
          <t>疼痛により個人差があるため</t>
        </is>
      </c>
      <c r="AI11" s="3" t="inlineStr">
        <is>
          <t>下肢筋力強化, バランス練習, 歩行練習, 起立、着座動作練習, 環境調整, 補助具、装具の適正化</t>
        </is>
      </c>
    </row>
    <row r="12" ht="22.5" customHeight="1">
      <c r="A12" s="32" t="n">
        <v>46083.73773181713</v>
      </c>
      <c r="B12" s="3" t="inlineStr">
        <is>
          <t>下門　範子</t>
        </is>
      </c>
      <c r="C12" s="3" t="inlineStr">
        <is>
          <t>北九州総合病院</t>
        </is>
      </c>
      <c r="D12" s="3" t="inlineStr">
        <is>
          <t>福岡県</t>
        </is>
      </c>
      <c r="E12" s="3" t="inlineStr">
        <is>
          <t>n-shimokado@kitakyu-hp.or.jp</t>
        </is>
      </c>
      <c r="F12" s="3" t="inlineStr">
        <is>
          <t>リハビリテーション科/作業療法士</t>
        </is>
      </c>
      <c r="G12" s="3" t="n">
        <v>247</v>
      </c>
      <c r="H12" s="3" t="n">
        <v>8</v>
      </c>
      <c r="I12" s="3" t="n">
        <v>3</v>
      </c>
      <c r="J12" s="3" t="inlineStr">
        <is>
          <t>届け出はしていないが、現在検討中である</t>
        </is>
      </c>
      <c r="K12" s="3" t="inlineStr">
        <is>
          <t>DVT予防, ポジショニング, 自主運動指導, 術後リハビリテーションのオリエンテーション, 離床（例：車椅子移乗,立位,歩行など）, 認知症検査（HDS-R/AMTS）</t>
        </is>
      </c>
      <c r="L12" s="3" t="inlineStr">
        <is>
          <t>全症例の0％〜24％程度</t>
        </is>
      </c>
      <c r="N12" s="3" t="inlineStr">
        <is>
          <t>全症例の0％〜24％程度</t>
        </is>
      </c>
      <c r="P12" s="3" t="inlineStr">
        <is>
          <t>全症例の0％〜24％程度</t>
        </is>
      </c>
      <c r="R12" s="3" t="inlineStr">
        <is>
          <t>全症例の0％〜24％程度</t>
        </is>
      </c>
      <c r="T12" s="3" t="inlineStr">
        <is>
          <t>下腿周径</t>
        </is>
      </c>
      <c r="V12" s="3" t="inlineStr">
        <is>
          <t>認知機能</t>
        </is>
      </c>
      <c r="X12" s="3" t="inlineStr">
        <is>
          <t>立ち上がりテスト</t>
        </is>
      </c>
      <c r="Z12" s="3" t="inlineStr">
        <is>
          <t>Barthel Index（BI）, FIM</t>
        </is>
      </c>
      <c r="AB12" s="3" t="inlineStr">
        <is>
          <t>MMSE, HDS-R</t>
        </is>
      </c>
      <c r="AD12" s="3" t="inlineStr">
        <is>
          <t>認知機能, ベッド周囲および病室環境</t>
        </is>
      </c>
      <c r="AF12" s="3" t="inlineStr">
        <is>
          <t>決まっている</t>
        </is>
      </c>
      <c r="AG12" s="3" t="inlineStr">
        <is>
          <t>認知機能評価は術前とENT・転院前です。</t>
        </is>
      </c>
      <c r="AI12" s="3" t="inlineStr">
        <is>
          <t>下肢筋力強化, バランス練習, 歩行練習, 歩容改善, 起立、着座動作練習, 環境調整, 補助具、装具の適正化, 認知面への介入, 行動面への介入, 薬剤調整, 教育、指導</t>
        </is>
      </c>
    </row>
    <row r="13" ht="22.5" customHeight="1">
      <c r="A13" s="32" t="n">
        <v>46083.86508890046</v>
      </c>
      <c r="B13" s="3" t="inlineStr">
        <is>
          <t>池脇圭司</t>
        </is>
      </c>
      <c r="C13" s="3" t="inlineStr">
        <is>
          <t>徳島県立中央病院</t>
        </is>
      </c>
      <c r="D13" s="3" t="inlineStr">
        <is>
          <t>徳島県</t>
        </is>
      </c>
      <c r="E13" s="3" t="inlineStr">
        <is>
          <t>kptaf1117@yahoo.co.jp</t>
        </is>
      </c>
      <c r="F13" s="3" t="inlineStr">
        <is>
          <t>リハビリテーション技術科/理学療法士</t>
        </is>
      </c>
      <c r="G13" s="3" t="n">
        <v>202</v>
      </c>
      <c r="H13" s="3" t="n">
        <v>10</v>
      </c>
      <c r="I13" s="3" t="n">
        <v>6</v>
      </c>
      <c r="J13" s="3" t="inlineStr">
        <is>
          <t>届け出をしておらず、検討もしていない</t>
        </is>
      </c>
      <c r="K13" s="3" t="inlineStr">
        <is>
          <t>DVT予防, 自主運動指導, 術後リハビリテーションのオリエンテーション, 離床（例：車椅子移乗,立位,歩行など）</t>
        </is>
      </c>
      <c r="L13" s="3" t="inlineStr">
        <is>
          <t>全症例の75％〜100％程度</t>
        </is>
      </c>
      <c r="M13" s="3" t="inlineStr">
        <is>
          <t>術後は鎮痛剤を入れて、リハ前に頓服も検討</t>
        </is>
      </c>
      <c r="N13" s="3" t="inlineStr">
        <is>
          <t>全症例の25％〜49％程度</t>
        </is>
      </c>
      <c r="P13" s="3" t="inlineStr">
        <is>
          <t>全症例の50％〜74％程度</t>
        </is>
      </c>
      <c r="Q13" s="3" t="inlineStr">
        <is>
          <t>アセスメントし、午前か午後で可能か検討</t>
        </is>
      </c>
      <c r="R13" s="3" t="inlineStr">
        <is>
          <t>全症例の0％〜24％程度</t>
        </is>
      </c>
      <c r="T13" s="3" t="inlineStr">
        <is>
          <t>下腿周径, GNRI</t>
        </is>
      </c>
      <c r="V13" s="3" t="inlineStr">
        <is>
          <t>認知機能, GNRI, 握力</t>
        </is>
      </c>
      <c r="X13" s="3" t="inlineStr">
        <is>
          <t>実施していない</t>
        </is>
      </c>
      <c r="Y13" s="3" t="inlineStr">
        <is>
          <t>術後2週以内には転院になり、評価困難例が多いため</t>
        </is>
      </c>
      <c r="Z13" s="3" t="inlineStr">
        <is>
          <t>Barthel Index（BI）</t>
        </is>
      </c>
      <c r="AB13" s="3" t="inlineStr">
        <is>
          <t>HDS-R, AMTS</t>
        </is>
      </c>
      <c r="AD13" s="3" t="inlineStr">
        <is>
          <t>開眼片脚立位時間, 認知機能, せん妄, 過去の転倒歴, ベッド周囲および病室環境, SIDE</t>
        </is>
      </c>
      <c r="AF13" s="3" t="inlineStr">
        <is>
          <t>決まっている</t>
        </is>
      </c>
      <c r="AG13" s="3" t="inlineStr">
        <is>
          <t>術後７日目</t>
        </is>
      </c>
      <c r="AI13" s="3" t="inlineStr">
        <is>
          <t>下肢筋力強化, バランス練習, 歩行練習, 起立、着座動作練習, 環境調整, 教育、指導</t>
        </is>
      </c>
    </row>
    <row r="14" ht="22.5" customHeight="1">
      <c r="A14" s="32" t="n">
        <v>46084.40058643519</v>
      </c>
      <c r="B14" s="3" t="inlineStr">
        <is>
          <t>島岡　秀奉</t>
        </is>
      </c>
      <c r="C14" s="3" t="inlineStr">
        <is>
          <t>高知県立あき総合病院</t>
        </is>
      </c>
      <c r="D14" s="3" t="inlineStr">
        <is>
          <t>高知県</t>
        </is>
      </c>
      <c r="E14" s="3" t="inlineStr">
        <is>
          <t>satomi_nonaka@ken2.pref.kochi.lg.jp</t>
        </is>
      </c>
      <c r="G14" s="3" t="n">
        <v>96</v>
      </c>
      <c r="H14" s="3" t="n">
        <v>11</v>
      </c>
      <c r="I14" s="3" t="n">
        <v>5</v>
      </c>
      <c r="J14" s="3" t="inlineStr">
        <is>
          <t>届け出をしておらず、検討もしていない</t>
        </is>
      </c>
      <c r="K14" s="3" t="inlineStr">
        <is>
          <t>DVT予防, ポジショニング, 自主運動指導, 術後リハビリテーションのオリエンテーション</t>
        </is>
      </c>
      <c r="L14" s="3" t="inlineStr">
        <is>
          <t>全症例の50％〜74％程度</t>
        </is>
      </c>
      <c r="M14" s="3" t="inlineStr">
        <is>
          <t>特になし</t>
        </is>
      </c>
      <c r="N14" s="3" t="inlineStr">
        <is>
          <t>全症例の0％〜24％程度</t>
        </is>
      </c>
      <c r="P14" s="3" t="inlineStr">
        <is>
          <t>全症例の0％〜24％程度</t>
        </is>
      </c>
      <c r="R14" s="3" t="inlineStr">
        <is>
          <t>全症例の0％〜24％程度</t>
        </is>
      </c>
      <c r="T14" s="3" t="inlineStr">
        <is>
          <t>握力, 下腿周径</t>
        </is>
      </c>
      <c r="V14" s="3" t="inlineStr">
        <is>
          <t>認知機能, 握力</t>
        </is>
      </c>
      <c r="X14" s="3" t="inlineStr">
        <is>
          <t>実施していない</t>
        </is>
      </c>
      <c r="Y14" s="3" t="inlineStr">
        <is>
          <t>回復期のある病院へ転院されることが多く実施できない。</t>
        </is>
      </c>
      <c r="Z14" s="3" t="inlineStr">
        <is>
          <t>Barthel Index（BI）, FIM</t>
        </is>
      </c>
      <c r="AB14" s="3" t="inlineStr">
        <is>
          <t>AMTS</t>
        </is>
      </c>
      <c r="AD14" s="3" t="inlineStr">
        <is>
          <t>実施していない</t>
        </is>
      </c>
      <c r="AE14" s="3" t="inlineStr">
        <is>
          <t>リハビリ対象の患者が高齢のため大半の患者が転倒リスクが高い</t>
        </is>
      </c>
      <c r="AH14" s="3" t="inlineStr">
        <is>
          <t>Q15-1の回答と同様</t>
        </is>
      </c>
      <c r="AI14" s="3" t="inlineStr">
        <is>
          <t>下肢筋力強化, バランス練習, 歩行練習, 歩容改善, 起立、着座動作練習, 環境調整, 補助具、装具の適正化</t>
        </is>
      </c>
    </row>
    <row r="15" ht="22.5" customHeight="1">
      <c r="A15" s="32" t="n">
        <v>46084.411534375</v>
      </c>
      <c r="B15" s="3" t="inlineStr">
        <is>
          <t>澤下　浩二</t>
        </is>
      </c>
      <c r="C15" s="3" t="inlineStr">
        <is>
          <t>甲南医療センタ－</t>
        </is>
      </c>
      <c r="D15" s="3" t="inlineStr">
        <is>
          <t>兵庫県</t>
        </is>
      </c>
      <c r="E15" s="3" t="inlineStr">
        <is>
          <t>koji.sawashita@kohnan.or.jp</t>
        </is>
      </c>
      <c r="F15" s="3" t="inlineStr">
        <is>
          <t>リハビリテーション部/理学療法士</t>
        </is>
      </c>
      <c r="G15" s="3" t="n">
        <v>146</v>
      </c>
      <c r="H15" s="3" t="n">
        <v>6</v>
      </c>
      <c r="I15" s="3" t="n">
        <v>9</v>
      </c>
      <c r="J15" s="3" t="inlineStr">
        <is>
          <t>届け出はしていないが、現在検討中である</t>
        </is>
      </c>
      <c r="K15" s="3" t="inlineStr">
        <is>
          <t>関節可動域運動, 筋力増強運動, DVT予防, ポジショニング</t>
        </is>
      </c>
      <c r="L15" s="3" t="inlineStr">
        <is>
          <t>全症例の0％〜24％程度</t>
        </is>
      </c>
      <c r="N15" s="3" t="inlineStr">
        <is>
          <t>全症例の0％〜24％程度</t>
        </is>
      </c>
      <c r="P15" s="3" t="inlineStr">
        <is>
          <t>全症例の0％〜24％程度</t>
        </is>
      </c>
      <c r="R15" s="3" t="inlineStr">
        <is>
          <t>全症例の0％〜24％程度</t>
        </is>
      </c>
      <c r="T15" s="3" t="inlineStr">
        <is>
          <t>握力, 5回椅子立ち上がりテスト, SPPB, 下腿周径</t>
        </is>
      </c>
      <c r="V15" s="3" t="inlineStr">
        <is>
          <t>握力</t>
        </is>
      </c>
      <c r="X15" s="3" t="inlineStr">
        <is>
          <t>立ち上がりテスト</t>
        </is>
      </c>
      <c r="Z15" s="3" t="inlineStr">
        <is>
          <t>Barthel Index（BI）, FIM</t>
        </is>
      </c>
      <c r="AB15" s="3" t="inlineStr">
        <is>
          <t>MMSE</t>
        </is>
      </c>
      <c r="AD15" s="3" t="inlineStr">
        <is>
          <t>SPPB、Functional Reach Test（FRT）</t>
        </is>
      </c>
      <c r="AF15" s="3" t="inlineStr">
        <is>
          <t>決まっていない</t>
        </is>
      </c>
      <c r="AI15" s="3" t="inlineStr">
        <is>
          <t>下肢筋力強化, バランス練習, 歩行練習, 環境調整, 補助具、装具の適正化</t>
        </is>
      </c>
    </row>
    <row r="16" ht="22.5" customHeight="1">
      <c r="A16" s="32" t="n">
        <v>46084.41463881944</v>
      </c>
      <c r="B16" s="3" t="inlineStr">
        <is>
          <t>宮澤佑治</t>
        </is>
      </c>
      <c r="C16" s="3" t="inlineStr">
        <is>
          <t>浜松医療センター</t>
        </is>
      </c>
      <c r="D16" s="3" t="inlineStr">
        <is>
          <t>静岡県</t>
        </is>
      </c>
      <c r="E16" s="3" t="inlineStr">
        <is>
          <t>amakoa@yahoo.co.jp</t>
        </is>
      </c>
      <c r="F16" s="3" t="inlineStr">
        <is>
          <t>リハビリテーション技術科/理学療法士</t>
        </is>
      </c>
      <c r="G16" s="3" t="n">
        <v>350</v>
      </c>
      <c r="H16" s="3" t="n">
        <v>15</v>
      </c>
      <c r="I16" s="3" t="n">
        <v>7</v>
      </c>
      <c r="J16" s="3" t="inlineStr">
        <is>
          <t>届け出をしておらず、検討もしていない</t>
        </is>
      </c>
      <c r="K16" s="3" t="inlineStr">
        <is>
          <t>DVT予防, リラクセーション, 離床（例：車椅子移乗,立位,歩行など）</t>
        </is>
      </c>
      <c r="L16" s="3" t="inlineStr">
        <is>
          <t>全症例の75％〜100％程度</t>
        </is>
      </c>
      <c r="M16" s="3" t="inlineStr">
        <is>
          <t>医師による強力な促しがあります。暴れてうまくいかない人は人数かけて行う事もあります。術翌日は最低座位、車椅子乗車まで行うのが普通でそれができない人は免荷が必要な過体重な人か重度脳卒中併存、暴れるなどの人であることが多いのでそういう人をそこまでするか？は適宜判断して行います。</t>
        </is>
      </c>
      <c r="N16" s="3" t="inlineStr">
        <is>
          <t>全症例の0％〜24％程度</t>
        </is>
      </c>
      <c r="P16" s="3" t="inlineStr">
        <is>
          <t>全症例の0％〜24％程度</t>
        </is>
      </c>
      <c r="Q16" s="3" t="inlineStr">
        <is>
          <t>貧血が原因であれば輸血した後に起立する、短時間にする、起立よりも座位時間確保など</t>
        </is>
      </c>
      <c r="R16" s="3" t="inlineStr">
        <is>
          <t>全症例の0％〜24％程度</t>
        </is>
      </c>
      <c r="T16" s="3" t="inlineStr">
        <is>
          <t>握力, 歩行速度, 下腿周径</t>
        </is>
      </c>
      <c r="U16" s="3" t="inlineStr">
        <is>
          <t>人によります。高齢で明らかに弱々しい人は測定しますが元気な人は定型的に行わないこともあります。</t>
        </is>
      </c>
      <c r="V16" s="3" t="inlineStr">
        <is>
          <t>J-CHS基準, 認知機能, 握力</t>
        </is>
      </c>
      <c r="W16" s="3" t="inlineStr">
        <is>
          <t>頸部骨折にはフレイルが関連している可能性が高いから全例スクリーニングしましょうという高度なことはできていません。各担当者がありそうだな、と感じた場合上記評価を適宜行っています。</t>
        </is>
      </c>
      <c r="X16" s="3" t="inlineStr">
        <is>
          <t>実施していない</t>
        </is>
      </c>
      <c r="Y16" s="3" t="inlineStr">
        <is>
          <t>ロコモティブシンドロームとしては評価スクリーニングしてません。当院ではロコモはそれほど議論されていません。</t>
        </is>
      </c>
      <c r="Z16" s="3" t="inlineStr">
        <is>
          <t>Barthel Index（BI）</t>
        </is>
      </c>
      <c r="AB16" s="3" t="inlineStr">
        <is>
          <t>MMSE</t>
        </is>
      </c>
      <c r="AC16" s="3" t="inlineStr">
        <is>
          <t>大腿骨骨折はパス化されていますが近隣のリハビリテーション病院がmmseやらないととらないなどわがままをいうのでよほど元気で認知症扱いするなと怒る人以外はスクリーニングとしてとっています。</t>
        </is>
      </c>
      <c r="AD16" s="3" t="inlineStr">
        <is>
          <t>Berg Balance Scale（BBS）, SPPB、Functional Reach Test（FRT）, せん妄, 過去の転倒歴, 既往疾患の有無（脳血管疾患、パーキンソン病など）, 薬剤（向精神薬、降圧薬、利尿薬、ポリファーマシーなど）, ベッド周囲および病室環境</t>
        </is>
      </c>
      <c r="AF16" s="3" t="inlineStr">
        <is>
          <t>決まっていない</t>
        </is>
      </c>
      <c r="AH16" s="3" t="inlineStr">
        <is>
          <t>症例数が多すぎるので、院内転倒リスクが高いとnsかリハでおもったひとを抽出して井戸端会議したり転んでしまった人は事案発覚からすぐに集まってカンファします。これも病棟でまちまちなこともあります。</t>
        </is>
      </c>
      <c r="AI16" s="3" t="inlineStr">
        <is>
          <t>下肢筋力強化, バランス練習, 歩行練習, 歩容改善, 起立、着座動作練習, 環境調整, 補助具、装具の適正化, 教育、指導</t>
        </is>
      </c>
      <c r="AJ16" s="3" t="inlineStr">
        <is>
          <t>転倒予防策として定型的に行っているものはありません。担当者の裁量で行っていることが多く組織的にできていないのは課題と考えます。組織的に行っていないというのがこの設問の行っていないに該当するのであれば行っていません。</t>
        </is>
      </c>
    </row>
    <row r="17" ht="22.5" customHeight="1">
      <c r="A17" s="32" t="n">
        <v>46084.4435868287</v>
      </c>
      <c r="B17" s="3" t="inlineStr">
        <is>
          <t>水谷純子</t>
        </is>
      </c>
      <c r="C17" s="3" t="inlineStr">
        <is>
          <t>東京都済生会中央病院</t>
        </is>
      </c>
      <c r="D17" s="3" t="inlineStr">
        <is>
          <t>東京都</t>
        </is>
      </c>
      <c r="E17" s="3" t="inlineStr">
        <is>
          <t>rh-mizutani@saichu.jp</t>
        </is>
      </c>
      <c r="F17" s="3" t="inlineStr">
        <is>
          <t>リハビリテーション技術科／理学療法士</t>
        </is>
      </c>
      <c r="G17" s="3" t="n">
        <v>78</v>
      </c>
      <c r="H17" s="3" t="n">
        <v>9</v>
      </c>
      <c r="I17" s="3" t="n">
        <v>5</v>
      </c>
      <c r="J17" s="3" t="inlineStr">
        <is>
          <t>届け出をしておらず、検討もしていない</t>
        </is>
      </c>
      <c r="K17" s="3" t="inlineStr">
        <is>
          <t>実施していない</t>
        </is>
      </c>
      <c r="L17" s="3" t="inlineStr">
        <is>
          <t>全症例の0％〜24％程度</t>
        </is>
      </c>
      <c r="N17" s="3" t="inlineStr">
        <is>
          <t>全症例の0％〜24％程度</t>
        </is>
      </c>
      <c r="P17" s="3" t="inlineStr">
        <is>
          <t>全症例の0％〜24％程度</t>
        </is>
      </c>
      <c r="R17" s="3" t="inlineStr">
        <is>
          <t>全症例の0％〜24％程度</t>
        </is>
      </c>
      <c r="T17" s="3" t="inlineStr">
        <is>
          <t>実施していない</t>
        </is>
      </c>
      <c r="U17" s="3" t="inlineStr">
        <is>
          <t>3次救急で大腿骨近位部骨折の患者にフレイルの評価としては時期的に取っていない。機能評価としてはやっています。</t>
        </is>
      </c>
      <c r="V17" s="3" t="inlineStr">
        <is>
          <t>実施していない</t>
        </is>
      </c>
      <c r="W17" s="3" t="inlineStr">
        <is>
          <t>3次救急で大腿骨近位部骨折の患者にフレイルの評価としては時期的に取っていない。機能評価としてはやっています。</t>
        </is>
      </c>
      <c r="X17" s="3" t="inlineStr">
        <is>
          <t>実施していない</t>
        </is>
      </c>
      <c r="Y17" s="3" t="inlineStr">
        <is>
          <t>3次救急で大腿骨近位部骨折の患者であり、評価の時期まで入院していない。</t>
        </is>
      </c>
      <c r="Z17" s="3" t="inlineStr">
        <is>
          <t>Barthel Index（BI）</t>
        </is>
      </c>
      <c r="AB17" s="3" t="inlineStr">
        <is>
          <t>MMSE, HDS-R, MoCA, AMTS</t>
        </is>
      </c>
      <c r="AD17" s="3" t="inlineStr">
        <is>
          <t>TUG, 10m歩行速度, Berg Balance Scale（BBS）, SPPB、Functional Reach Test（FRT）, 深部感覚評価, 認知機能, せん妄, 過去の転倒歴, 既往疾患の有無（脳血管疾患、パーキンソン病など）</t>
        </is>
      </c>
      <c r="AF17" s="3" t="inlineStr">
        <is>
          <t>決まっている</t>
        </is>
      </c>
      <c r="AG17" s="3" t="inlineStr">
        <is>
          <t>TUGは7POD、AMTSは10POD、それ以外は患者に合わせてできる時期に評価</t>
        </is>
      </c>
      <c r="AI17" s="3" t="inlineStr">
        <is>
          <t>下肢筋力強化, バランス練習, 歩行練習, 歩容改善, 起立、着座動作練習, 環境調整, 補助具、装具の適正化, 認知面への介入, 薬剤調整, 教育、指導</t>
        </is>
      </c>
    </row>
    <row r="18" ht="22.5" customHeight="1">
      <c r="A18" s="32" t="n">
        <v>46084.47764444444</v>
      </c>
      <c r="B18" s="3" t="inlineStr">
        <is>
          <t>望月拓駿</t>
        </is>
      </c>
      <c r="C18" s="3" t="inlineStr">
        <is>
          <t>静岡県立総合病院</t>
        </is>
      </c>
      <c r="D18" s="3" t="inlineStr">
        <is>
          <t>静岡県</t>
        </is>
      </c>
      <c r="E18" s="3" t="inlineStr">
        <is>
          <t>omochitack14@gmail.com</t>
        </is>
      </c>
      <c r="F18" s="3" t="inlineStr">
        <is>
          <t>リハビリテーション科/理学療法士</t>
        </is>
      </c>
      <c r="G18" s="3" t="n">
        <v>140</v>
      </c>
      <c r="H18" s="3" t="n">
        <v>25</v>
      </c>
      <c r="I18" s="3" t="n">
        <v>0</v>
      </c>
      <c r="J18" s="3" t="inlineStr">
        <is>
          <t>届け出はしていないが、現在検討中である</t>
        </is>
      </c>
      <c r="K18" s="3" t="inlineStr">
        <is>
          <t>関節可動域運動, 筋力増強運動, DVT予防, 自主運動指導, 術後リハビリテーションのオリエンテーション</t>
        </is>
      </c>
      <c r="L18" s="3" t="inlineStr">
        <is>
          <t>全症例の25％〜49％程度</t>
        </is>
      </c>
      <c r="N18" s="3" t="inlineStr">
        <is>
          <t>全症例の25％〜49％程度</t>
        </is>
      </c>
      <c r="P18" s="3" t="inlineStr">
        <is>
          <t>全症例の0％〜24％程度</t>
        </is>
      </c>
      <c r="R18" s="3" t="inlineStr">
        <is>
          <t>全症例の0％〜24％程度</t>
        </is>
      </c>
      <c r="T18" s="3" t="inlineStr">
        <is>
          <t>握力, 歩行速度, SPPB</t>
        </is>
      </c>
      <c r="V18" s="3" t="inlineStr">
        <is>
          <t>認知機能, 握力</t>
        </is>
      </c>
      <c r="X18" s="3" t="inlineStr">
        <is>
          <t>実施していない</t>
        </is>
      </c>
      <c r="Y18" s="3" t="inlineStr">
        <is>
          <t>当院として計測を行っていない</t>
        </is>
      </c>
      <c r="Z18" s="3" t="inlineStr">
        <is>
          <t>Barthel Index（BI）, FIM</t>
        </is>
      </c>
      <c r="AB18" s="3" t="inlineStr">
        <is>
          <t>MMSE, HDS-R</t>
        </is>
      </c>
      <c r="AD18" s="3" t="inlineStr">
        <is>
          <t>TUG, Berg Balance Scale（BBS）, SPPB、Functional Reach Test（FRT）, ベッド周囲および病室環境</t>
        </is>
      </c>
      <c r="AF18" s="3" t="inlineStr">
        <is>
          <t>決まっていない</t>
        </is>
      </c>
      <c r="AH18" s="3" t="inlineStr">
        <is>
          <t>実際の患者に合わせて可能かどうかを各自判断している</t>
        </is>
      </c>
      <c r="AI18" s="3" t="inlineStr">
        <is>
          <t>下肢筋力強化, バランス練習, 歩行練習, 起立、着座動作練習, 環境調整, 補助具、装具の適正化, 認知面への介入, 行動面への介入</t>
        </is>
      </c>
    </row>
    <row r="19" ht="22.5" customHeight="1">
      <c r="A19" s="32" t="n">
        <v>46084.48365559028</v>
      </c>
      <c r="B19" s="3" t="inlineStr">
        <is>
          <t>三浦大介</t>
        </is>
      </c>
      <c r="C19" s="3" t="inlineStr">
        <is>
          <t>地方独立行政法人　岐阜県立多治見病院</t>
        </is>
      </c>
      <c r="D19" s="3" t="inlineStr">
        <is>
          <t>岐阜県</t>
        </is>
      </c>
      <c r="E19" s="3" t="inlineStr">
        <is>
          <t>miura-daisuke@tajimi-hospital.jp</t>
        </is>
      </c>
      <c r="F19" s="3" t="inlineStr">
        <is>
          <t>リハビリテーション科　理学療法士</t>
        </is>
      </c>
      <c r="G19" s="3" t="n">
        <v>159</v>
      </c>
      <c r="H19" s="3" t="n">
        <v>10</v>
      </c>
      <c r="I19" s="3" t="n">
        <v>0</v>
      </c>
      <c r="J19" s="3" t="inlineStr">
        <is>
          <t>届け出をしておらず、検討もしていない</t>
        </is>
      </c>
      <c r="K19" s="3" t="inlineStr">
        <is>
          <t>関節可動域運動, 筋力増強運動, 呼吸リハビリテーション, DVT予防, 自主運動指導, 術後リハビリテーションのオリエンテーション, 離床（例：車椅子移乗,立位,歩行など）</t>
        </is>
      </c>
      <c r="L19" s="3" t="inlineStr">
        <is>
          <t>全症例の50％〜74％程度</t>
        </is>
      </c>
      <c r="M19" s="3" t="inlineStr">
        <is>
          <t>鎮痛薬による疼痛コントロール
高頻度介入</t>
        </is>
      </c>
      <c r="N19" s="3" t="inlineStr">
        <is>
          <t>全症例の25％〜49％程度</t>
        </is>
      </c>
      <c r="P19" s="3" t="inlineStr">
        <is>
          <t>全症例の0％〜24％程度</t>
        </is>
      </c>
      <c r="R19" s="3" t="inlineStr">
        <is>
          <t>全症例の0％〜24％程度</t>
        </is>
      </c>
      <c r="T19" s="3" t="inlineStr">
        <is>
          <t>SPPB, TUG, 6分間歩行距離</t>
        </is>
      </c>
      <c r="V19" s="3" t="inlineStr">
        <is>
          <t>TUG, 6分間歩行距離, 認知機能</t>
        </is>
      </c>
      <c r="X19" s="3" t="inlineStr">
        <is>
          <t>実施していない</t>
        </is>
      </c>
      <c r="Z19" s="3" t="inlineStr">
        <is>
          <t>Barthel Index（BI）</t>
        </is>
      </c>
      <c r="AB19" s="3" t="inlineStr">
        <is>
          <t>HDS-R, AMTS</t>
        </is>
      </c>
      <c r="AD19" s="3" t="inlineStr">
        <is>
          <t>TUG, SPPB、Functional Reach Test（FRT）, 認知機能, せん妄, 既往疾患の有無（脳血管疾患、パーキンソン病など）, 薬剤（向精神薬、降圧薬、利尿薬、ポリファーマシーなど）, ベッド周囲および病室環境</t>
        </is>
      </c>
      <c r="AF19" s="3" t="inlineStr">
        <is>
          <t>決まっている</t>
        </is>
      </c>
      <c r="AG19" s="3" t="inlineStr">
        <is>
          <t>退院時</t>
        </is>
      </c>
      <c r="AI19" s="3" t="inlineStr">
        <is>
          <t>下肢筋力強化, バランス練習, 歩行練習, 歩容改善, 起立、着座動作練習, 環境調整, 補助具、装具の適正化, 認知面への介入</t>
        </is>
      </c>
    </row>
    <row r="20" ht="22.5" customHeight="1">
      <c r="A20" s="32" t="n">
        <v>46084.56042282408</v>
      </c>
      <c r="B20" s="3" t="inlineStr">
        <is>
          <t>永松　康太</t>
        </is>
      </c>
      <c r="C20" s="3" t="inlineStr">
        <is>
          <t>神奈川県厚生連　伊勢原協同病院</t>
        </is>
      </c>
      <c r="D20" s="3" t="inlineStr">
        <is>
          <t>神奈川県</t>
        </is>
      </c>
      <c r="E20" s="3" t="inlineStr">
        <is>
          <t>kotadk.h@gmail.com</t>
        </is>
      </c>
      <c r="F20" s="3" t="inlineStr">
        <is>
          <t>リハビリテーション室/理学療法士</t>
        </is>
      </c>
      <c r="G20" s="3" t="n">
        <v>189</v>
      </c>
      <c r="H20" s="3" t="n">
        <v>7</v>
      </c>
      <c r="I20" s="3" t="n">
        <v>4</v>
      </c>
      <c r="J20" s="3" t="inlineStr">
        <is>
          <t>届け出をしておらず、検討もしていない</t>
        </is>
      </c>
      <c r="K20" s="3" t="inlineStr">
        <is>
          <t>関節可動域運動, 筋力増強運動, DVT予防, リラクセーション, ポジショニング, 自主運動指導, 術後リハビリテーションのオリエンテーション</t>
        </is>
      </c>
      <c r="L20" s="3" t="inlineStr">
        <is>
          <t>全症例の0％〜24％程度</t>
        </is>
      </c>
      <c r="N20" s="3" t="inlineStr">
        <is>
          <t>全症例の0％〜24％程度</t>
        </is>
      </c>
      <c r="P20" s="3" t="inlineStr">
        <is>
          <t>全症例の0％〜24％程度</t>
        </is>
      </c>
      <c r="R20" s="3" t="inlineStr">
        <is>
          <t>全症例の0％〜24％程度</t>
        </is>
      </c>
      <c r="T20" s="3" t="inlineStr">
        <is>
          <t>膝伸展筋力, 歩行速度</t>
        </is>
      </c>
      <c r="V20" s="3" t="inlineStr">
        <is>
          <t>認知機能</t>
        </is>
      </c>
      <c r="X20" s="3" t="inlineStr">
        <is>
          <t>実施していない</t>
        </is>
      </c>
      <c r="Y20" s="3" t="inlineStr">
        <is>
          <t>理由は特にありません</t>
        </is>
      </c>
      <c r="Z20" s="3" t="inlineStr">
        <is>
          <t>Barthel Index（BI）</t>
        </is>
      </c>
      <c r="AB20" s="3" t="inlineStr">
        <is>
          <t>HDS-R, AMTS</t>
        </is>
      </c>
      <c r="AD20" s="3" t="inlineStr">
        <is>
          <t>定量的な下肢筋力測定, 認知機能, 過去の転倒歴, 既往疾患の有無（脳血管疾患、パーキンソン病など）, 薬剤（向精神薬、降圧薬、利尿薬、ポリファーマシーなど）, ベッド周囲および病室環境</t>
        </is>
      </c>
      <c r="AF20" s="3" t="inlineStr">
        <is>
          <t>決まっていない</t>
        </is>
      </c>
      <c r="AH20" s="3" t="inlineStr">
        <is>
          <t>通常の理学療法評価の中で行うため、特に決まっていません。</t>
        </is>
      </c>
      <c r="AI20" s="3" t="inlineStr">
        <is>
          <t>下肢筋力強化, バランス練習, 歩行練習, 歩容改善, 起立、着座動作練習, 環境調整</t>
        </is>
      </c>
    </row>
    <row r="21" ht="22.5" customHeight="1">
      <c r="A21" s="32" t="n">
        <v>46084.57717138889</v>
      </c>
      <c r="B21" s="3" t="inlineStr">
        <is>
          <t>高橋智之</t>
        </is>
      </c>
      <c r="C21" s="3" t="inlineStr">
        <is>
          <t>関口病院</t>
        </is>
      </c>
      <c r="D21" s="3" t="inlineStr">
        <is>
          <t>群馬県</t>
        </is>
      </c>
      <c r="E21" s="3" t="inlineStr">
        <is>
          <t>t.takahashi@kouwa-sekiguchi.com</t>
        </is>
      </c>
      <c r="F21" s="3" t="inlineStr">
        <is>
          <t>リハビリテーション課/理学療法士</t>
        </is>
      </c>
      <c r="G21" s="3" t="n">
        <v>189</v>
      </c>
      <c r="H21" s="3" t="n">
        <v>20</v>
      </c>
      <c r="I21" s="3" t="n">
        <v>0</v>
      </c>
      <c r="J21" s="3" t="inlineStr">
        <is>
          <t>届け出をしておらず、検討もしていない</t>
        </is>
      </c>
      <c r="K21" s="3" t="inlineStr">
        <is>
          <t>関節可動域運動, 筋力増強運動, 呼吸リハビリテーション, DVT予防, リラクセーション, ポジショニング, 離床（例：車椅子移乗,立位,歩行など）</t>
        </is>
      </c>
      <c r="L21" s="3" t="inlineStr">
        <is>
          <t>全症例の0％〜24％程度</t>
        </is>
      </c>
      <c r="N21" s="3" t="inlineStr">
        <is>
          <t>全症例の0％〜24％程度</t>
        </is>
      </c>
      <c r="P21" s="3" t="inlineStr">
        <is>
          <t>全症例の0％〜24％程度</t>
        </is>
      </c>
      <c r="R21" s="3" t="inlineStr">
        <is>
          <t>全症例の0％〜24％程度</t>
        </is>
      </c>
      <c r="T21" s="3" t="inlineStr">
        <is>
          <t>握力, 膝伸展筋力, 5回椅子立ち上がりテスト, 6分間歩行距離, 下腿周径</t>
        </is>
      </c>
      <c r="V21" s="3" t="inlineStr">
        <is>
          <t>握力</t>
        </is>
      </c>
      <c r="X21" s="3" t="inlineStr">
        <is>
          <t>立ち上がりテスト</t>
        </is>
      </c>
      <c r="Z21" s="3" t="inlineStr">
        <is>
          <t>Barthel Index（BI）, FIM</t>
        </is>
      </c>
      <c r="AB21" s="3" t="inlineStr">
        <is>
          <t>HDS-R</t>
        </is>
      </c>
      <c r="AD21" s="3" t="inlineStr">
        <is>
          <t>定量的な下肢筋力測定, 5回椅子立ち上がりテスト, 過去の転倒歴, 既往疾患の有無（脳血管疾患、パーキンソン病など）, 薬剤（向精神薬、降圧薬、利尿薬、ポリファーマシーなど）</t>
        </is>
      </c>
      <c r="AF21" s="3" t="inlineStr">
        <is>
          <t>決まっていない</t>
        </is>
      </c>
      <c r="AH21" s="3" t="inlineStr">
        <is>
          <t>退院前に一回実施するため、患者によって実施するタイミングが異なるから</t>
        </is>
      </c>
      <c r="AI21" s="3" t="inlineStr">
        <is>
          <t>下肢筋力強化, バランス練習, 歩行練習, 歩容改善, 起立、着座動作練習, 環境調整, 行動面への介入, 教育、指導</t>
        </is>
      </c>
    </row>
    <row r="22" ht="22.5" customHeight="1">
      <c r="A22" s="32" t="n">
        <v>46084.58071894676</v>
      </c>
      <c r="B22" s="3" t="inlineStr">
        <is>
          <t>藤野裕気</t>
        </is>
      </c>
      <c r="C22" s="3" t="inlineStr">
        <is>
          <t>医療法人吉野会はやと整形外科</t>
        </is>
      </c>
      <c r="D22" s="3" t="inlineStr">
        <is>
          <t>鹿児島県</t>
        </is>
      </c>
      <c r="E22" s="3" t="inlineStr">
        <is>
          <t>hayatoseikei-riha@po2.synapse.ne.jp</t>
        </is>
      </c>
      <c r="F22" s="3" t="inlineStr">
        <is>
          <t>リハビリテーション科/理学療法士</t>
        </is>
      </c>
      <c r="G22" s="3" t="n">
        <v>27</v>
      </c>
      <c r="H22" s="3" t="n">
        <v>7</v>
      </c>
      <c r="I22" s="3" t="n">
        <v>1</v>
      </c>
      <c r="J22" s="3" t="inlineStr">
        <is>
          <t>届け出はしていないが、現在検討中である</t>
        </is>
      </c>
      <c r="K22" s="3" t="inlineStr">
        <is>
          <t>関節可動域運動, 筋力増強運動, DVT予防, リラクセーション, ポジショニング, 自主運動指導, 術後リハビリテーションのオリエンテーション</t>
        </is>
      </c>
      <c r="L22" s="3" t="inlineStr">
        <is>
          <t>全症例の25％〜49％程度</t>
        </is>
      </c>
      <c r="N22" s="3" t="inlineStr">
        <is>
          <t>全症例の25％〜49％程度</t>
        </is>
      </c>
      <c r="P22" s="3" t="inlineStr">
        <is>
          <t>全症例の25％〜49％程度</t>
        </is>
      </c>
      <c r="R22" s="3" t="inlineStr">
        <is>
          <t>全症例の0％〜24％程度</t>
        </is>
      </c>
      <c r="T22" s="3" t="inlineStr">
        <is>
          <t>握力, 5回椅子立ち上がりテスト, TUG, 開眼片脚立位時間, 下腿周径</t>
        </is>
      </c>
      <c r="V22" s="3" t="inlineStr">
        <is>
          <t>TUG, 握力</t>
        </is>
      </c>
      <c r="X22" s="3" t="inlineStr">
        <is>
          <t>立ち上がりテスト, 2ステップテスト</t>
        </is>
      </c>
      <c r="Z22" s="3" t="inlineStr">
        <is>
          <t>Barthel Index（BI）, FIM</t>
        </is>
      </c>
      <c r="AB22" s="3" t="inlineStr">
        <is>
          <t>実施していない</t>
        </is>
      </c>
      <c r="AC22" s="3" t="inlineStr">
        <is>
          <t>看護師がAMTSまたはHDS-Rを実施している為</t>
        </is>
      </c>
      <c r="AD22" s="3" t="inlineStr">
        <is>
          <t>開眼片脚立位時間, TUG, 5回椅子立ち上がりテスト, Fall Risk Index</t>
        </is>
      </c>
      <c r="AF22" s="3" t="inlineStr">
        <is>
          <t>決まっていない</t>
        </is>
      </c>
      <c r="AH22" s="3" t="inlineStr">
        <is>
          <t>患者様により立位や歩行できる時期が異なる為</t>
        </is>
      </c>
      <c r="AI22" s="3" t="inlineStr">
        <is>
          <t>下肢筋力強化, バランス練習, 歩行練習, 歩容改善, 起立、着座動作練習, 環境調整, 補助具、装具の適正化, 行動面への介入, 教育、指導</t>
        </is>
      </c>
    </row>
    <row r="23" ht="22.5" customHeight="1">
      <c r="A23" s="32" t="n">
        <v>46084.59174651621</v>
      </c>
      <c r="B23" s="3" t="inlineStr">
        <is>
          <t>今井智文</t>
        </is>
      </c>
      <c r="C23" s="3" t="inlineStr">
        <is>
          <t>豊川市民病院</t>
        </is>
      </c>
      <c r="D23" s="3" t="inlineStr">
        <is>
          <t>愛知県</t>
        </is>
      </c>
      <c r="E23" s="3" t="inlineStr">
        <is>
          <t>reha@toyokawa-ch-aichi.jp</t>
        </is>
      </c>
      <c r="F23" s="3" t="inlineStr">
        <is>
          <t>リハビリテーション技術科/理学療法士</t>
        </is>
      </c>
      <c r="G23" s="3" t="n">
        <v>229</v>
      </c>
      <c r="H23" s="3" t="n">
        <v>18</v>
      </c>
      <c r="I23" s="3" t="n">
        <v>8</v>
      </c>
      <c r="J23" s="3" t="inlineStr">
        <is>
          <t>届け出をしておらず、検討もしていない</t>
        </is>
      </c>
      <c r="K23" s="3" t="inlineStr">
        <is>
          <t>筋力増強運動, DVT予防, リラクセーション, ポジショニング, 自主運動指導, 術後リハビリテーションのオリエンテーション</t>
        </is>
      </c>
      <c r="L23" s="3" t="inlineStr">
        <is>
          <t>全症例の25％〜49％程度</t>
        </is>
      </c>
      <c r="N23" s="3" t="inlineStr">
        <is>
          <t>全症例の0％〜24％程度</t>
        </is>
      </c>
      <c r="P23" s="3" t="inlineStr">
        <is>
          <t>全症例の0％〜24％程度</t>
        </is>
      </c>
      <c r="R23" s="3" t="inlineStr">
        <is>
          <t>全症例の0％〜24％程度</t>
        </is>
      </c>
      <c r="T23" s="3" t="inlineStr">
        <is>
          <t>実施していない</t>
        </is>
      </c>
      <c r="U23" s="3" t="inlineStr">
        <is>
          <t>術前はベッド上安静で評価実施困難。（座位・起立・歩行は困難）術後は機能回復のための介入が中心となります。</t>
        </is>
      </c>
      <c r="V23" s="3" t="inlineStr">
        <is>
          <t>実施していない</t>
        </is>
      </c>
      <c r="W23" s="3" t="inlineStr">
        <is>
          <t>術前はベッド上安静で評価実施困難。（座位・起立・歩行は困難）術後は機能回復のための介入が中心となります。</t>
        </is>
      </c>
      <c r="X23" s="3" t="inlineStr">
        <is>
          <t>実施していない</t>
        </is>
      </c>
      <c r="Y23" s="3" t="inlineStr">
        <is>
          <t>術前はベッド上安静で評価実施困難。（座位・起立・歩行は困難）術後は機能回復のための介入が中心となります。</t>
        </is>
      </c>
      <c r="Z23" s="3" t="inlineStr">
        <is>
          <t>Barthel Index（BI）, FIM</t>
        </is>
      </c>
      <c r="AB23" s="3" t="inlineStr">
        <is>
          <t>MMSE, HDS-R, AMTS</t>
        </is>
      </c>
      <c r="AD23" s="3" t="inlineStr">
        <is>
          <t>定量的な下肢筋力測定, 認知機能, 注意障害, ベッド周囲および病室環境, 転倒予防カンファレンスへの参加</t>
        </is>
      </c>
      <c r="AF23" s="3" t="inlineStr">
        <is>
          <t>決まっている</t>
        </is>
      </c>
      <c r="AG23" s="3" t="inlineStr">
        <is>
          <t>術後３日以内</t>
        </is>
      </c>
      <c r="AI23" s="3" t="inlineStr">
        <is>
          <t>下肢筋力強化, バランス練習, 歩行練習, 歩容改善, 起立、着座動作練習, 環境調整, 補助具、装具の適正化, 認知面への介入, 行動面への介入, 教育、指導</t>
        </is>
      </c>
    </row>
    <row r="24" ht="22.5" customHeight="1">
      <c r="A24" s="32" t="n">
        <v>46084.59477018518</v>
      </c>
      <c r="B24" s="3" t="inlineStr">
        <is>
          <t>屋宜　秀明</t>
        </is>
      </c>
      <c r="C24" s="3" t="inlineStr">
        <is>
          <t>徳島市民病院</t>
        </is>
      </c>
      <c r="D24" s="3" t="inlineStr">
        <is>
          <t>徳島県</t>
        </is>
      </c>
      <c r="E24" s="3" t="inlineStr">
        <is>
          <t>hideaki_rx78@yahoo.co.jp</t>
        </is>
      </c>
      <c r="F24" s="3" t="inlineStr">
        <is>
          <t>リハビリテーション科／理学療法士</t>
        </is>
      </c>
      <c r="G24" s="3" t="n">
        <v>203</v>
      </c>
      <c r="H24" s="3" t="n">
        <v>13</v>
      </c>
      <c r="I24" s="3" t="n">
        <v>0</v>
      </c>
      <c r="J24" s="3" t="inlineStr">
        <is>
          <t>届け出をしておらず、検討もしていない</t>
        </is>
      </c>
      <c r="K24" s="3" t="inlineStr">
        <is>
          <t>関節可動域運動, DVT予防, ポジショニング, 自主運動指導, 術後リハビリテーションのオリエンテーション</t>
        </is>
      </c>
      <c r="L24" s="3" t="inlineStr">
        <is>
          <t>全症例の25％〜49％程度</t>
        </is>
      </c>
      <c r="N24" s="3" t="inlineStr">
        <is>
          <t>全症例の0％〜24％程度</t>
        </is>
      </c>
      <c r="P24" s="3" t="inlineStr">
        <is>
          <t>全症例の0％〜24％程度</t>
        </is>
      </c>
      <c r="R24" s="3" t="inlineStr">
        <is>
          <t>全症例の0％〜24％程度</t>
        </is>
      </c>
      <c r="T24" s="3" t="inlineStr">
        <is>
          <t>握力, 下腿周径</t>
        </is>
      </c>
      <c r="V24" s="3" t="inlineStr">
        <is>
          <t>握力</t>
        </is>
      </c>
      <c r="X24" s="3" t="inlineStr">
        <is>
          <t>実施していない</t>
        </is>
      </c>
      <c r="Z24" s="3" t="inlineStr">
        <is>
          <t>Barthel Index（BI）</t>
        </is>
      </c>
      <c r="AB24" s="3" t="inlineStr">
        <is>
          <t>MMSE, HDS-R</t>
        </is>
      </c>
      <c r="AD24" s="3" t="inlineStr">
        <is>
          <t>実施していない</t>
        </is>
      </c>
      <c r="AE24" s="3" t="inlineStr">
        <is>
          <t>各セラピストが評価を行い訓練を実施していますが、特定の評価を必須にはしてません。</t>
        </is>
      </c>
      <c r="AI24" s="3" t="inlineStr">
        <is>
          <t>下肢筋力強化, バランス練習, 歩行練習, 環境調整</t>
        </is>
      </c>
    </row>
    <row r="25" ht="22.5" customHeight="1">
      <c r="A25" s="32" t="n">
        <v>46084.6470103588</v>
      </c>
      <c r="B25" s="3" t="inlineStr">
        <is>
          <t>荒木 裕介</t>
        </is>
      </c>
      <c r="C25" s="3" t="inlineStr">
        <is>
          <t>医療法人 讃高会 枚方東整形外科病院</t>
        </is>
      </c>
      <c r="D25" s="3" t="inlineStr">
        <is>
          <t>大阪府</t>
        </is>
      </c>
      <c r="E25" s="3" t="inlineStr">
        <is>
          <t>takai.rihabiri@sankokai.or.jp</t>
        </is>
      </c>
      <c r="F25" s="3" t="inlineStr">
        <is>
          <t>リハビリテーション室/理学療法士</t>
        </is>
      </c>
      <c r="G25" s="3" t="n">
        <v>106</v>
      </c>
      <c r="H25" s="3" t="n">
        <v>9</v>
      </c>
      <c r="I25" s="3" t="n">
        <v>0</v>
      </c>
      <c r="J25" s="3" t="inlineStr">
        <is>
          <t>届け出をしておらず、検討もしていない</t>
        </is>
      </c>
      <c r="K25" s="3" t="inlineStr">
        <is>
          <t>関節可動域運動, 筋力増強運動, リラクセーション, ポジショニング</t>
        </is>
      </c>
      <c r="L25" s="3" t="inlineStr">
        <is>
          <t>全症例の0％〜24％程度</t>
        </is>
      </c>
      <c r="N25" s="3" t="inlineStr">
        <is>
          <t>全症例の0％〜24％程度</t>
        </is>
      </c>
      <c r="P25" s="3" t="inlineStr">
        <is>
          <t>全症例の0％〜24％程度</t>
        </is>
      </c>
      <c r="R25" s="3" t="inlineStr">
        <is>
          <t>全症例の0％〜24％程度</t>
        </is>
      </c>
      <c r="T25" s="3" t="inlineStr">
        <is>
          <t>握力, 膝伸展筋力, 歩行速度</t>
        </is>
      </c>
      <c r="V25" s="3" t="inlineStr">
        <is>
          <t>抑うつや意欲低下, 握力</t>
        </is>
      </c>
      <c r="X25" s="3" t="inlineStr">
        <is>
          <t>実施していない</t>
        </is>
      </c>
      <c r="Z25" s="3" t="inlineStr">
        <is>
          <t>Barthel Index（BI）, FIM</t>
        </is>
      </c>
      <c r="AB25" s="3" t="inlineStr">
        <is>
          <t>実施していない</t>
        </is>
      </c>
      <c r="AD25" s="3" t="inlineStr">
        <is>
          <t>実施していない</t>
        </is>
      </c>
      <c r="AE25" s="3" t="inlineStr">
        <is>
          <t>片脚立位等，各々で評価はしているが，施設して定められた評価は無い</t>
        </is>
      </c>
      <c r="AI25" s="3" t="inlineStr">
        <is>
          <t>下肢筋力強化, バランス練習, 歩行練習, 歩容改善, 起立、着座動作練習, 環境調整, 教育、指導</t>
        </is>
      </c>
    </row>
    <row r="26" ht="22.5" customHeight="1">
      <c r="A26" s="32" t="n">
        <v>46084.66971798611</v>
      </c>
      <c r="B26" s="3" t="inlineStr">
        <is>
          <t>堂前　伸</t>
        </is>
      </c>
      <c r="C26" s="3" t="inlineStr">
        <is>
          <t>東京歯科大学市川総合病院</t>
        </is>
      </c>
      <c r="D26" s="3" t="inlineStr">
        <is>
          <t>千葉県</t>
        </is>
      </c>
      <c r="E26" s="3" t="inlineStr">
        <is>
          <t>sdoumae@tdc.ac.jp</t>
        </is>
      </c>
      <c r="F26" s="3" t="inlineStr">
        <is>
          <t>リハビリテーション科/理学療法士</t>
        </is>
      </c>
      <c r="G26" s="3" t="n">
        <v>52</v>
      </c>
      <c r="H26" s="3" t="n">
        <v>7</v>
      </c>
      <c r="I26" s="3" t="n">
        <v>0</v>
      </c>
      <c r="J26" s="3" t="inlineStr">
        <is>
          <t>届け出をしておらず、検討もしていない</t>
        </is>
      </c>
      <c r="K26" s="3" t="inlineStr">
        <is>
          <t>術前評価のみ</t>
        </is>
      </c>
      <c r="L26" s="3" t="inlineStr">
        <is>
          <t>全症例の0％〜24％程度</t>
        </is>
      </c>
      <c r="N26" s="3" t="inlineStr">
        <is>
          <t>全症例の0％〜24％程度</t>
        </is>
      </c>
      <c r="P26" s="3" t="inlineStr">
        <is>
          <t>全症例の0％〜24％程度</t>
        </is>
      </c>
      <c r="R26" s="3" t="inlineStr">
        <is>
          <t>全症例の0％〜24％程度</t>
        </is>
      </c>
      <c r="T26" s="3" t="inlineStr">
        <is>
          <t>握力, 膝伸展筋力, 5回椅子立ち上がりテスト, 歩行速度, TUG, 開眼片脚立位時間, 下腿周径</t>
        </is>
      </c>
      <c r="V26" s="3" t="inlineStr">
        <is>
          <t>TUG, 6分間歩行距離, 認知機能, 握力</t>
        </is>
      </c>
      <c r="X26" s="3" t="inlineStr">
        <is>
          <t>立ち上がりテスト, ロコモ25（質問票）</t>
        </is>
      </c>
      <c r="Z26" s="3" t="inlineStr">
        <is>
          <t>Barthel Index（BI）, FIM</t>
        </is>
      </c>
      <c r="AB26" s="3" t="inlineStr">
        <is>
          <t>MMSE, HDS-R</t>
        </is>
      </c>
      <c r="AD26" s="3" t="inlineStr">
        <is>
          <t>認知機能, せん妄, 過去の転倒歴, 既往疾患の有無（脳血管疾患、パーキンソン病など）, 薬剤（向精神薬、降圧薬、利尿薬、ポリファーマシーなど）, ベッド周囲および病室環境</t>
        </is>
      </c>
      <c r="AF26" s="3" t="inlineStr">
        <is>
          <t>決まっていない</t>
        </is>
      </c>
      <c r="AH26" s="3" t="inlineStr">
        <is>
          <t>動作獲得に個人差があるため、立位・歩行が可能となったタイミングで実施</t>
        </is>
      </c>
      <c r="AI26" s="3" t="inlineStr">
        <is>
          <t>下肢筋力強化, バランス練習, 歩行練習, 起立、着座動作練習, 環境調整</t>
        </is>
      </c>
    </row>
    <row r="27" ht="22.5" customHeight="1">
      <c r="A27" s="32" t="n">
        <v>46084.69186810185</v>
      </c>
      <c r="B27" s="3" t="inlineStr">
        <is>
          <t>木ノ下哲嗣</t>
        </is>
      </c>
      <c r="C27" s="3" t="inlineStr">
        <is>
          <t>手稲渓仁会病院</t>
        </is>
      </c>
      <c r="D27" s="3" t="inlineStr">
        <is>
          <t>北海道</t>
        </is>
      </c>
      <c r="E27" s="3" t="inlineStr">
        <is>
          <t>kinoshita-sat@keijinkai.or.jp</t>
        </is>
      </c>
      <c r="F27" s="3" t="inlineStr">
        <is>
          <t>リハビリテーション部/理学療法士</t>
        </is>
      </c>
      <c r="G27" s="3" t="n">
        <v>70</v>
      </c>
      <c r="H27" s="3" t="n">
        <v>13</v>
      </c>
      <c r="I27" s="3" t="n">
        <v>4</v>
      </c>
      <c r="J27" s="3" t="inlineStr">
        <is>
          <t>届け出をしておらず、検討もしていない</t>
        </is>
      </c>
      <c r="K27" s="3" t="inlineStr">
        <is>
          <t>関節可動域運動, 筋力増強運動, 呼吸リハビリテーション, DVT予防, リラクセーション, ポジショニング, 自主運動指導, 術後リハビリテーションのオリエンテーション, 離床（例：車椅子移乗,立位,歩行など）</t>
        </is>
      </c>
      <c r="L27" s="3" t="inlineStr">
        <is>
          <t>全症例の25％〜49％程度</t>
        </is>
      </c>
      <c r="N27" s="3" t="inlineStr">
        <is>
          <t>全症例の0％〜24％程度</t>
        </is>
      </c>
      <c r="P27" s="3" t="inlineStr">
        <is>
          <t>全症例の0％〜24％程度</t>
        </is>
      </c>
      <c r="R27" s="3" t="inlineStr">
        <is>
          <t>全症例の0％〜24％程度</t>
        </is>
      </c>
      <c r="T27" s="3" t="inlineStr">
        <is>
          <t>膝伸展筋力, 歩行速度, TUG</t>
        </is>
      </c>
      <c r="V27" s="3" t="inlineStr">
        <is>
          <t>J-CHS基準, 認知機能, 抑うつや意欲低下</t>
        </is>
      </c>
      <c r="X27" s="3" t="inlineStr">
        <is>
          <t>実施していない</t>
        </is>
      </c>
      <c r="Z27" s="3" t="inlineStr">
        <is>
          <t>Barthel Index（BI）, FIM</t>
        </is>
      </c>
      <c r="AB27" s="3" t="inlineStr">
        <is>
          <t>MMSE, AMTS</t>
        </is>
      </c>
      <c r="AD27" s="3" t="inlineStr">
        <is>
          <t>定量的な下肢筋力測定, TUG, 10m歩行速度, Berg Balance Scale（BBS）</t>
        </is>
      </c>
      <c r="AF27" s="3" t="inlineStr">
        <is>
          <t>決まっている</t>
        </is>
      </c>
      <c r="AG27" s="3" t="inlineStr">
        <is>
          <t>術前もしくは術後１日目</t>
        </is>
      </c>
      <c r="AI27" s="3" t="inlineStr">
        <is>
          <t>下肢筋力強化, バランス練習, 歩行練習, 歩容改善, 起立、着座動作練習, 環境調整, 認知面への介入</t>
        </is>
      </c>
    </row>
    <row r="28" ht="22.5" customHeight="1">
      <c r="A28" s="32" t="n">
        <v>46084.71334851852</v>
      </c>
      <c r="B28" s="3" t="inlineStr">
        <is>
          <t>山下　麻美</t>
        </is>
      </c>
      <c r="C28" s="3" t="inlineStr">
        <is>
          <t>済生会長崎病院</t>
        </is>
      </c>
      <c r="D28" s="3" t="inlineStr">
        <is>
          <t>長崎県</t>
        </is>
      </c>
      <c r="E28" s="3" t="inlineStr">
        <is>
          <t>mami.saisei.0913@gmail.com</t>
        </is>
      </c>
      <c r="F28" s="3" t="inlineStr">
        <is>
          <t>リハビリテーション部／理学療法士</t>
        </is>
      </c>
      <c r="G28" s="3" t="n">
        <v>239</v>
      </c>
      <c r="H28" s="3" t="n">
        <v>14</v>
      </c>
      <c r="I28" s="3" t="n">
        <v>0</v>
      </c>
      <c r="J28" s="3" t="inlineStr">
        <is>
          <t>届け出をしておらず、検討もしていない</t>
        </is>
      </c>
      <c r="K28" s="3" t="inlineStr">
        <is>
          <t>関節可動域運動, 筋力増強運動, DVT予防, リラクセーション, ポジショニング, 自主運動指導, 術後リハビリテーションのオリエンテーション</t>
        </is>
      </c>
      <c r="L28" s="3" t="inlineStr">
        <is>
          <t>全症例の75％〜100％程度</t>
        </is>
      </c>
      <c r="M28" s="3" t="inlineStr">
        <is>
          <t>術後翌日からのリハビリテーションの介入。</t>
        </is>
      </c>
      <c r="N28" s="3" t="inlineStr">
        <is>
          <t>全症例の0％〜24％程度</t>
        </is>
      </c>
      <c r="P28" s="3" t="inlineStr">
        <is>
          <t>全症例の0％〜24％程度</t>
        </is>
      </c>
      <c r="R28" s="3" t="inlineStr">
        <is>
          <t>全症例の0％〜24％程度</t>
        </is>
      </c>
      <c r="T28" s="3" t="inlineStr">
        <is>
          <t>実施していない</t>
        </is>
      </c>
      <c r="U28" s="3" t="inlineStr">
        <is>
          <t>その他評価で対応。</t>
        </is>
      </c>
      <c r="V28" s="3" t="inlineStr">
        <is>
          <t>実施していない</t>
        </is>
      </c>
      <c r="W28" s="3" t="inlineStr">
        <is>
          <t>その他評価で対応。</t>
        </is>
      </c>
      <c r="X28" s="3" t="inlineStr">
        <is>
          <t>実施していない</t>
        </is>
      </c>
      <c r="Y28" s="3" t="inlineStr">
        <is>
          <t>その他評価で対応。</t>
        </is>
      </c>
      <c r="Z28" s="3" t="inlineStr">
        <is>
          <t>Barthel Index（BI）</t>
        </is>
      </c>
      <c r="AB28" s="3" t="inlineStr">
        <is>
          <t>MMSE, HDS-R, MoCA</t>
        </is>
      </c>
      <c r="AD28" s="3" t="inlineStr">
        <is>
          <t>実施していない</t>
        </is>
      </c>
      <c r="AE28" s="3" t="inlineStr">
        <is>
          <t>患者によって、必要な評価を選定して行っている。</t>
        </is>
      </c>
      <c r="AH28" s="3" t="inlineStr">
        <is>
          <t>同じ病名でも、年齢や性別等患者背景が異なるため。</t>
        </is>
      </c>
      <c r="AI28" s="3" t="inlineStr">
        <is>
          <t>下肢筋力強化, バランス練習, 歩行練習, 歩容改善, 起立、着座動作練習, 環境調整, 補助具、装具の適正化, 認知面への介入, 行動面への介入, 薬剤調整, 教育、指導</t>
        </is>
      </c>
    </row>
    <row r="29" ht="22.5" customHeight="1">
      <c r="A29" s="32" t="n">
        <v>46084.72281324074</v>
      </c>
      <c r="B29" s="3" t="inlineStr">
        <is>
          <t>岡野宏信</t>
        </is>
      </c>
      <c r="C29" s="3" t="inlineStr">
        <is>
          <t>香川県立中央病院</t>
        </is>
      </c>
      <c r="D29" s="3" t="inlineStr">
        <is>
          <t>香川県</t>
        </is>
      </c>
      <c r="E29" s="3" t="inlineStr">
        <is>
          <t>oknhiron@gmail.com</t>
        </is>
      </c>
      <c r="F29" s="3" t="inlineStr">
        <is>
          <t>リハビリテーション部/理学療法士</t>
        </is>
      </c>
      <c r="G29" s="3" t="n">
        <v>138</v>
      </c>
      <c r="H29" s="3" t="n">
        <v>8</v>
      </c>
      <c r="I29" s="3" t="n">
        <v>0</v>
      </c>
      <c r="J29" s="3" t="inlineStr">
        <is>
          <t>届け出をしておらず、検討もしていない</t>
        </is>
      </c>
      <c r="K29" s="3" t="inlineStr">
        <is>
          <t>関節可動域運動, 筋力増強運動, 呼吸リハビリテーション, DVT予防, リラクセーション, ポジショニング, 自主運動指導, 術後リハビリテーションのオリエンテーション</t>
        </is>
      </c>
      <c r="L29" s="3" t="inlineStr">
        <is>
          <t>全症例の25％〜49％程度</t>
        </is>
      </c>
      <c r="N29" s="3" t="inlineStr">
        <is>
          <t>全症例の25％〜49％程度</t>
        </is>
      </c>
      <c r="P29" s="3" t="inlineStr">
        <is>
          <t>全症例の25％〜49％程度</t>
        </is>
      </c>
      <c r="R29" s="3" t="inlineStr">
        <is>
          <t>全症例の0％〜24％程度</t>
        </is>
      </c>
      <c r="T29" s="3" t="inlineStr">
        <is>
          <t>握力, 歩行速度</t>
        </is>
      </c>
      <c r="V29" s="3" t="inlineStr">
        <is>
          <t>実施していない</t>
        </is>
      </c>
      <c r="W29" s="3" t="inlineStr">
        <is>
          <t>データを利用していないため</t>
        </is>
      </c>
      <c r="X29" s="3" t="inlineStr">
        <is>
          <t>実施していない</t>
        </is>
      </c>
      <c r="Y29" s="3" t="inlineStr">
        <is>
          <t>データを利用していないため。</t>
        </is>
      </c>
      <c r="Z29" s="3" t="inlineStr">
        <is>
          <t>Barthel Index（BI）</t>
        </is>
      </c>
      <c r="AB29" s="3" t="inlineStr">
        <is>
          <t>AMTS</t>
        </is>
      </c>
      <c r="AD29" s="3" t="inlineStr">
        <is>
          <t xml:space="preserve">10m歩行速度, </t>
        </is>
      </c>
      <c r="AF29" s="3" t="inlineStr">
        <is>
          <t>決まっている</t>
        </is>
      </c>
      <c r="AG29" s="3" t="inlineStr">
        <is>
          <t>14日目を目安に行っている</t>
        </is>
      </c>
      <c r="AI29" s="3" t="inlineStr">
        <is>
          <t>下肢筋力強化, バランス練習, 歩行練習, 歩容改善, 起立、着座動作練習, 環境調整, 補助具、装具の適正化, 認知面への介入, 行動面への介入, 薬剤調整, 教育、指導</t>
        </is>
      </c>
    </row>
    <row r="30" ht="22.5" customHeight="1">
      <c r="A30" s="32" t="n">
        <v>46084.75414872685</v>
      </c>
      <c r="B30" s="3" t="inlineStr">
        <is>
          <t>藤井千博</t>
        </is>
      </c>
      <c r="C30" s="3" t="inlineStr">
        <is>
          <t>総合病院　聖隷浜松病院</t>
        </is>
      </c>
      <c r="D30" s="3" t="inlineStr">
        <is>
          <t>静岡県</t>
        </is>
      </c>
      <c r="E30" s="3" t="inlineStr">
        <is>
          <t>c-fujii@sis.seirei.or.jp</t>
        </is>
      </c>
      <c r="F30" s="3" t="inlineStr">
        <is>
          <t>リハビリテーション部／理学療法士</t>
        </is>
      </c>
      <c r="G30" s="3" t="n">
        <v>211</v>
      </c>
      <c r="H30" s="3" t="n">
        <v>10</v>
      </c>
      <c r="I30" s="3" t="n">
        <v>5</v>
      </c>
      <c r="J30" s="3" t="inlineStr">
        <is>
          <t>届け出はしていないが、現在検討中である</t>
        </is>
      </c>
      <c r="K30" s="3" t="inlineStr">
        <is>
          <t>実施していない</t>
        </is>
      </c>
      <c r="L30" s="3" t="inlineStr">
        <is>
          <t>全症例の0％〜24％程度</t>
        </is>
      </c>
      <c r="N30" s="3" t="inlineStr">
        <is>
          <t>全症例の0％〜24％程度</t>
        </is>
      </c>
      <c r="P30" s="3" t="inlineStr">
        <is>
          <t>全症例の0％〜24％程度</t>
        </is>
      </c>
      <c r="R30" s="3" t="inlineStr">
        <is>
          <t>全症例の0％〜24％程度</t>
        </is>
      </c>
      <c r="T30" s="3" t="inlineStr">
        <is>
          <t>実施していない</t>
        </is>
      </c>
      <c r="U30" s="3" t="inlineStr">
        <is>
          <t>サルコペニアに特化した評価は実施していない　各症例に必要な評価を実施している</t>
        </is>
      </c>
      <c r="V30" s="3" t="inlineStr">
        <is>
          <t>実施していない</t>
        </is>
      </c>
      <c r="W30" s="3" t="inlineStr">
        <is>
          <t xml:space="preserve">
フレイルに特化した評価は実施していない　各症例に必要な評価を実施している
</t>
        </is>
      </c>
      <c r="X30" s="3" t="inlineStr">
        <is>
          <t>実施していない</t>
        </is>
      </c>
      <c r="Y30" s="3" t="inlineStr">
        <is>
          <t xml:space="preserve">
ロコモに特化した評価は実施していない　各症例に必要な評価を実施している
</t>
        </is>
      </c>
      <c r="Z30" s="3" t="inlineStr">
        <is>
          <t>Barthel Index（BI）</t>
        </is>
      </c>
      <c r="AB30" s="3" t="inlineStr">
        <is>
          <t>MMSE, AMTS</t>
        </is>
      </c>
      <c r="AD30" s="3" t="inlineStr">
        <is>
          <t>実施していない</t>
        </is>
      </c>
      <c r="AE30" s="3" t="inlineStr">
        <is>
          <t xml:space="preserve">
活動の一環としては評価は実施していない　各症例に必要な評価を実施している
</t>
        </is>
      </c>
      <c r="AI30" s="3" t="inlineStr">
        <is>
          <t>下肢筋力強化, バランス練習, 歩行練習, 歩容改善, 起立、着座動作練習, 環境調整, 補助具、装具の適正化, 認知面への介入, 行動面への介入, 教育、指導</t>
        </is>
      </c>
    </row>
    <row r="31" ht="22.5" customHeight="1">
      <c r="A31" s="32" t="n">
        <v>46084.76854060185</v>
      </c>
      <c r="B31" s="3" t="inlineStr">
        <is>
          <t>那須崇史</t>
        </is>
      </c>
      <c r="C31" s="3" t="inlineStr">
        <is>
          <t>重工大須病院</t>
        </is>
      </c>
      <c r="D31" s="3" t="inlineStr">
        <is>
          <t>愛知県</t>
        </is>
      </c>
      <c r="E31" s="3" t="inlineStr">
        <is>
          <t>t-nasu@keimeikai.or.jp</t>
        </is>
      </c>
      <c r="F31" s="3" t="inlineStr">
        <is>
          <t>リハビリテーション部/理学療法士</t>
        </is>
      </c>
      <c r="G31" s="3" t="n">
        <v>176</v>
      </c>
      <c r="H31" s="3" t="n">
        <v>7</v>
      </c>
      <c r="I31" s="3" t="n">
        <v>2</v>
      </c>
      <c r="J31" s="3" t="inlineStr">
        <is>
          <t>現在、算定している</t>
        </is>
      </c>
      <c r="K31" s="3" t="inlineStr">
        <is>
          <t>関節可動域運動, 筋力増強運動, DVT予防, リラクセーション, ポジショニング, 自主運動指導, 術後リハビリテーションのオリエンテーション, 離床（例：車椅子移乗,立位,歩行など）, リアリティーオリエンテーション</t>
        </is>
      </c>
      <c r="L31" s="3" t="inlineStr">
        <is>
          <t>全症例の0％〜24％程度</t>
        </is>
      </c>
      <c r="N31" s="3" t="inlineStr">
        <is>
          <t>全症例の0％〜24％程度</t>
        </is>
      </c>
      <c r="P31" s="3" t="inlineStr">
        <is>
          <t>全症例の0％〜24％程度</t>
        </is>
      </c>
      <c r="R31" s="3" t="inlineStr">
        <is>
          <t>全症例の0％〜24％程度</t>
        </is>
      </c>
      <c r="T31" s="3" t="inlineStr">
        <is>
          <t>握力, 歩行速度, TUG, 下腿周径</t>
        </is>
      </c>
      <c r="V31" s="3" t="inlineStr">
        <is>
          <t>TUG, 認知機能, 握力</t>
        </is>
      </c>
      <c r="X31" s="3" t="inlineStr">
        <is>
          <t>実施していない</t>
        </is>
      </c>
      <c r="Y31" s="3" t="inlineStr">
        <is>
          <t>ロコモティブシンドロームとしての評価を設定していないため</t>
        </is>
      </c>
      <c r="Z31" s="3" t="inlineStr">
        <is>
          <t>Barthel Index（BI）, FIM</t>
        </is>
      </c>
      <c r="AB31" s="3" t="inlineStr">
        <is>
          <t>MMSE, MoCA</t>
        </is>
      </c>
      <c r="AD31" s="3" t="inlineStr">
        <is>
          <t>認知機能, 過去の転倒歴, Fall Risk Index</t>
        </is>
      </c>
      <c r="AF31" s="3" t="inlineStr">
        <is>
          <t>決まっている</t>
        </is>
      </c>
      <c r="AG31" s="3" t="inlineStr">
        <is>
          <t>術前に実施しています。</t>
        </is>
      </c>
      <c r="AI31" s="3" t="inlineStr">
        <is>
          <t>下肢筋力強化, バランス練習, 歩行練習, 歩容改善, 起立、着座動作練習, 環境調整, 補助具、装具の適正化, 認知面への介入, 行動面への介入, 教育、指導</t>
        </is>
      </c>
    </row>
    <row r="32" ht="22.5" customHeight="1">
      <c r="A32" s="32" t="n">
        <v>46084.80247515046</v>
      </c>
      <c r="B32" s="3" t="inlineStr">
        <is>
          <t>青木　敏明</t>
        </is>
      </c>
      <c r="C32" s="3" t="inlineStr">
        <is>
          <t>東京都立多摩総合医療センター</t>
        </is>
      </c>
      <c r="D32" s="3" t="inlineStr">
        <is>
          <t>東京都</t>
        </is>
      </c>
      <c r="E32" s="3" t="inlineStr">
        <is>
          <t>toshiaki_aoki@tmhp.jp</t>
        </is>
      </c>
      <c r="F32" s="3" t="inlineStr">
        <is>
          <t>リハビリテーション科／理学療法士</t>
        </is>
      </c>
      <c r="G32" s="3" t="n">
        <v>155</v>
      </c>
      <c r="H32" s="3" t="n">
        <v>18</v>
      </c>
      <c r="I32" s="3" t="n">
        <v>0</v>
      </c>
      <c r="J32" s="3" t="inlineStr">
        <is>
          <t>届け出はしていないが、現在検討中である</t>
        </is>
      </c>
      <c r="K32" s="3" t="inlineStr">
        <is>
          <t>関節可動域運動, 筋力増強運動, DVT予防, 術後リハビリテーションのオリエンテーション, 離床（例：車椅子移乗,立位,歩行など）</t>
        </is>
      </c>
      <c r="L32" s="3" t="inlineStr">
        <is>
          <t>全症例の50％〜74％程度</t>
        </is>
      </c>
      <c r="M32" s="3" t="inlineStr">
        <is>
          <t>痛みの評価・対症療法（軽めのROM・マッサージ等）</t>
        </is>
      </c>
      <c r="N32" s="3" t="inlineStr">
        <is>
          <t>全症例の50％〜74％程度</t>
        </is>
      </c>
      <c r="O32" s="3" t="inlineStr">
        <is>
          <t>覚醒状態のタイミングをみて介入</t>
        </is>
      </c>
      <c r="P32" s="3" t="inlineStr">
        <is>
          <t>全症例の50％〜74％程度</t>
        </is>
      </c>
      <c r="Q32" s="3" t="inlineStr">
        <is>
          <t>起立性低血圧が多く、段階的な姿勢調整とバイタルチェック</t>
        </is>
      </c>
      <c r="R32" s="3" t="inlineStr">
        <is>
          <t>全症例の0％〜24％程度</t>
        </is>
      </c>
      <c r="T32" s="3" t="inlineStr">
        <is>
          <t>各種評価は行っているが、サルコペニアの評価としては実施していない</t>
        </is>
      </c>
      <c r="U32" s="3" t="inlineStr">
        <is>
          <t>通常の術後評価のみ行っている</t>
        </is>
      </c>
      <c r="V32" s="3" t="inlineStr">
        <is>
          <t>各種評価は行っているが、フレイルの評価としては実施していない</t>
        </is>
      </c>
      <c r="W32" s="3" t="inlineStr">
        <is>
          <t>通常の術後評価のみ行っている</t>
        </is>
      </c>
      <c r="X32" s="3" t="inlineStr">
        <is>
          <t>各種評価は行っているが、ロコモの評価としては実施していない</t>
        </is>
      </c>
      <c r="Y32" s="3" t="inlineStr">
        <is>
          <t>通常の術後評価のみ行っている</t>
        </is>
      </c>
      <c r="Z32" s="3" t="inlineStr">
        <is>
          <t>Barthel Index（BI）, FIM</t>
        </is>
      </c>
      <c r="AB32" s="3" t="inlineStr">
        <is>
          <t>HDS-R</t>
        </is>
      </c>
      <c r="AD32" s="3" t="inlineStr">
        <is>
          <t>各種評価は行っているが、特に定められた評価としては実施していない</t>
        </is>
      </c>
      <c r="AE32" s="3" t="inlineStr">
        <is>
          <t>通常の評価として実施している</t>
        </is>
      </c>
      <c r="AF32" s="3" t="inlineStr">
        <is>
          <t>決まっていない</t>
        </is>
      </c>
      <c r="AH32" s="3" t="inlineStr">
        <is>
          <t>患者の状況に応じて評価を実施している</t>
        </is>
      </c>
      <c r="AI32" s="3" t="inlineStr">
        <is>
          <t>下肢筋力強化, バランス練習, 歩行練習, 補助具、装具の適正化, 認知面への介入</t>
        </is>
      </c>
    </row>
    <row r="33" ht="22.5" customHeight="1">
      <c r="A33" s="32" t="n">
        <v>46085.25865501157</v>
      </c>
      <c r="B33" s="3" t="inlineStr">
        <is>
          <t>松尾英明</t>
        </is>
      </c>
      <c r="C33" s="3" t="inlineStr">
        <is>
          <t>福井大学医学部附属病院</t>
        </is>
      </c>
      <c r="D33" s="3" t="inlineStr">
        <is>
          <t>福井県</t>
        </is>
      </c>
      <c r="E33" s="3" t="inlineStr">
        <is>
          <t>hideakim@u-fukui.ac.jp</t>
        </is>
      </c>
      <c r="F33" s="3" t="inlineStr">
        <is>
          <t>リハビリテーション部/理学療法士</t>
        </is>
      </c>
      <c r="G33" s="3" t="n">
        <v>136</v>
      </c>
      <c r="H33" s="3" t="n">
        <v>4</v>
      </c>
      <c r="I33" s="3" t="n">
        <v>2</v>
      </c>
      <c r="J33" s="3" t="inlineStr">
        <is>
          <t>届け出をしておらず、検討もしていない</t>
        </is>
      </c>
      <c r="K33" s="3" t="inlineStr">
        <is>
          <t>関節可動域運動, 筋力増強運動, DVT予防, ポジショニング, 自主運動指導, 術後リハビリテーションのオリエンテーション, 離床（例：車椅子移乗,立位,歩行など）</t>
        </is>
      </c>
      <c r="L33" s="3" t="inlineStr">
        <is>
          <t>全症例の0％〜24％程度</t>
        </is>
      </c>
      <c r="N33" s="3" t="inlineStr">
        <is>
          <t>全症例の0％〜24％程度</t>
        </is>
      </c>
      <c r="P33" s="3" t="inlineStr">
        <is>
          <t>全症例の0％〜24％程度</t>
        </is>
      </c>
      <c r="R33" s="3" t="inlineStr">
        <is>
          <t>全症例の0％〜24％程度</t>
        </is>
      </c>
      <c r="T33" s="3" t="inlineStr">
        <is>
          <t>SPPB, SARC-F</t>
        </is>
      </c>
      <c r="V33" s="3" t="inlineStr">
        <is>
          <t>Kihon Checklist（基本チェックリスト）</t>
        </is>
      </c>
      <c r="X33" s="3" t="inlineStr">
        <is>
          <t>実施していない</t>
        </is>
      </c>
      <c r="Y33" s="3" t="inlineStr">
        <is>
          <t>時間の十分にとれない急性期リハの中で、フレイル、サルコペニアを優先的に評価しているため。</t>
        </is>
      </c>
      <c r="Z33" s="3" t="inlineStr">
        <is>
          <t>FIM</t>
        </is>
      </c>
      <c r="AB33" s="3" t="inlineStr">
        <is>
          <t>HDS-R, AMTS</t>
        </is>
      </c>
      <c r="AD33" s="3" t="inlineStr">
        <is>
          <t>開眼片脚立位時間, 10m歩行速度, Berg Balance Scale（BBS）, SPPB、Functional Reach Test（FRT）, 5回椅子立ち上がりテスト, 深部感覚評価, 認知機能, 注意障害, 遂行機能, せん妄, 転倒恐怖感, 過去の転倒歴, 既往疾患の有無（脳血管疾患、パーキンソン病など）, 薬剤（向精神薬、降圧薬、利尿薬、ポリファーマシーなど）, ベッド周囲および病室環境</t>
        </is>
      </c>
      <c r="AF33" s="3" t="inlineStr">
        <is>
          <t>決まっていない</t>
        </is>
      </c>
      <c r="AH33" s="3" t="inlineStr">
        <is>
          <t>もともとの診療活動として行っているため、FLS活動として改めて決め直していない。</t>
        </is>
      </c>
      <c r="AI33" s="3" t="inlineStr">
        <is>
          <t>下肢筋力強化, バランス練習, 歩行練習, 歩容改善, 起立、着座動作練習, 環境調整, 補助具、装具の適正化, 認知面への介入, 行動面への介入, 薬剤調整, 教育、指導</t>
        </is>
      </c>
    </row>
    <row r="34" ht="22.5" customHeight="1">
      <c r="A34" s="32" t="n">
        <v>46085.50657688658</v>
      </c>
      <c r="B34" s="3" t="inlineStr">
        <is>
          <t>村山智幸</t>
        </is>
      </c>
      <c r="C34" s="3" t="inlineStr">
        <is>
          <t>新潟厚生連　上越総合病院</t>
        </is>
      </c>
      <c r="D34" s="3" t="inlineStr">
        <is>
          <t>新潟県</t>
        </is>
      </c>
      <c r="E34" s="3" t="inlineStr">
        <is>
          <t>murayama-itigo-video1@ezweb.ne.jp</t>
        </is>
      </c>
      <c r="F34" s="3" t="inlineStr">
        <is>
          <t>リハビリテーション科　理学療法士</t>
        </is>
      </c>
      <c r="G34" s="3" t="n">
        <v>137</v>
      </c>
      <c r="H34" s="3" t="n">
        <v>12</v>
      </c>
      <c r="I34" s="3" t="n">
        <v>2</v>
      </c>
      <c r="J34" s="3" t="inlineStr">
        <is>
          <t>届け出はしているが、算定していない</t>
        </is>
      </c>
      <c r="K34" s="3" t="inlineStr">
        <is>
          <t>DVT予防, リラクセーション, ポジショニング, 自主運動指導, 術後リハビリテーションのオリエンテーション</t>
        </is>
      </c>
      <c r="L34" s="3" t="inlineStr">
        <is>
          <t>全症例の0％〜24％程度</t>
        </is>
      </c>
      <c r="N34" s="3" t="inlineStr">
        <is>
          <t>全症例の0％〜24％程度</t>
        </is>
      </c>
      <c r="P34" s="3" t="inlineStr">
        <is>
          <t>全症例の0％〜24％程度</t>
        </is>
      </c>
      <c r="R34" s="3" t="inlineStr">
        <is>
          <t>全症例の0％〜24％程度</t>
        </is>
      </c>
      <c r="T34" s="3" t="inlineStr">
        <is>
          <t>握力, 膝伸展筋力</t>
        </is>
      </c>
      <c r="V34" s="3" t="inlineStr">
        <is>
          <t>TUG, 握力</t>
        </is>
      </c>
      <c r="X34" s="3" t="inlineStr">
        <is>
          <t>立ち上がりテスト</t>
        </is>
      </c>
      <c r="Z34" s="3" t="inlineStr">
        <is>
          <t>Barthel Index（BI）, FIM</t>
        </is>
      </c>
      <c r="AB34" s="3" t="inlineStr">
        <is>
          <t>MMSE, HDS-R</t>
        </is>
      </c>
      <c r="AD34" s="3" t="inlineStr">
        <is>
          <t>定量的な下肢筋力測定, 過去の転倒歴</t>
        </is>
      </c>
      <c r="AF34" s="3" t="inlineStr">
        <is>
          <t>決まっている</t>
        </is>
      </c>
      <c r="AG34" s="3" t="inlineStr">
        <is>
          <t>退院までの期間</t>
        </is>
      </c>
      <c r="AI34" s="3" t="inlineStr">
        <is>
          <t>下肢筋力強化, バランス練習, 歩行練習, 起立、着座動作練習, 環境調整, 補助具、装具の適正化, 認知面への介入</t>
        </is>
      </c>
    </row>
    <row r="35" ht="22.5" customHeight="1">
      <c r="A35" s="32" t="n">
        <v>46085.55249930556</v>
      </c>
      <c r="B35" s="3" t="inlineStr">
        <is>
          <t>藤野　裕美</t>
        </is>
      </c>
      <c r="C35" s="3" t="inlineStr">
        <is>
          <t>独立行政法人国立病院機構　四国こどもとおとなの医療センター</t>
        </is>
      </c>
      <c r="D35" s="3" t="inlineStr">
        <is>
          <t>香川県</t>
        </is>
      </c>
      <c r="E35" s="3" t="inlineStr">
        <is>
          <t>fujino.hiromi.qm@hosp.go.jp</t>
        </is>
      </c>
      <c r="F35" s="3" t="inlineStr">
        <is>
          <t>リハビリテーション科/理学療法士</t>
        </is>
      </c>
      <c r="G35" s="3" t="n">
        <v>215</v>
      </c>
      <c r="H35" s="3" t="n">
        <v>6</v>
      </c>
      <c r="I35" s="3" t="n">
        <v>0</v>
      </c>
      <c r="J35" s="3" t="inlineStr">
        <is>
          <t>届け出をしておらず、検討もしていない</t>
        </is>
      </c>
      <c r="K35" s="3" t="inlineStr">
        <is>
          <t>実施していない</t>
        </is>
      </c>
      <c r="L35" s="3" t="inlineStr">
        <is>
          <t>全症例の0％〜24％程度</t>
        </is>
      </c>
      <c r="N35" s="3" t="inlineStr">
        <is>
          <t>全症例の0％〜24％程度</t>
        </is>
      </c>
      <c r="P35" s="3" t="inlineStr">
        <is>
          <t>全症例の0％〜24％程度</t>
        </is>
      </c>
      <c r="R35" s="3" t="inlineStr">
        <is>
          <t>全症例の0％〜24％程度</t>
        </is>
      </c>
      <c r="T35" s="3" t="inlineStr">
        <is>
          <t>実施していない</t>
        </is>
      </c>
      <c r="U35" s="3" t="inlineStr">
        <is>
          <t>評価を活用できる体制が整っておらず、仕組み作りが今後の課題</t>
        </is>
      </c>
      <c r="V35" s="3" t="inlineStr">
        <is>
          <t>実施していない</t>
        </is>
      </c>
      <c r="W35" s="3" t="inlineStr">
        <is>
          <t>評価を活用できる体制が整っておらず、仕組み作りが今後の課題</t>
        </is>
      </c>
      <c r="X35" s="3" t="inlineStr">
        <is>
          <t>実施していない</t>
        </is>
      </c>
      <c r="Y35" s="3" t="inlineStr">
        <is>
          <t>評価を活用できる体制が整っておらず、仕組み作りが今後の課題</t>
        </is>
      </c>
      <c r="Z35" s="3" t="inlineStr">
        <is>
          <t>Barthel Index（BI）, FIM</t>
        </is>
      </c>
      <c r="AB35" s="3" t="inlineStr">
        <is>
          <t>MMSE, HDS-R</t>
        </is>
      </c>
      <c r="AD35" s="3" t="inlineStr">
        <is>
          <t>定量的な下肢筋力測定, 認知機能, 転倒恐怖感, 過去の転倒歴, ベッド周囲および病室環境</t>
        </is>
      </c>
      <c r="AF35" s="3" t="inlineStr">
        <is>
          <t>決まっていない</t>
        </is>
      </c>
      <c r="AH35" s="3" t="inlineStr">
        <is>
          <t>症状を基準に評価しており、業務フローは未整備である</t>
        </is>
      </c>
      <c r="AI35" s="3" t="inlineStr">
        <is>
          <t>下肢筋力強化, バランス練習, 歩行練習, 歩容改善, 起立、着座動作練習, 環境調整, 補助具、装具の適正化, 教育、指導</t>
        </is>
      </c>
    </row>
    <row r="36" ht="22.5" customHeight="1">
      <c r="A36" s="32" t="n">
        <v>46085.60460253472</v>
      </c>
      <c r="B36" s="3" t="inlineStr">
        <is>
          <t>桒原　慶太</t>
        </is>
      </c>
      <c r="C36" s="3" t="inlineStr">
        <is>
          <t>北里大学メディカルセンター</t>
        </is>
      </c>
      <c r="D36" s="3" t="inlineStr">
        <is>
          <t>埼玉県</t>
        </is>
      </c>
      <c r="E36" s="3" t="inlineStr">
        <is>
          <t>kuwabara@insti.kitasato-u.ac.jp</t>
        </is>
      </c>
      <c r="F36" s="3" t="inlineStr">
        <is>
          <t>リハビリテーションセンター・理学療法士</t>
        </is>
      </c>
      <c r="G36" s="3" t="n">
        <v>98</v>
      </c>
      <c r="H36" s="3" t="n">
        <v>6</v>
      </c>
      <c r="I36" s="3" t="n">
        <v>0</v>
      </c>
      <c r="J36" s="3" t="inlineStr">
        <is>
          <t>届け出をしておらず、検討もしていない</t>
        </is>
      </c>
      <c r="K36" s="3" t="inlineStr">
        <is>
          <t>筋力増強運動, ポジショニング, 自主運動指導</t>
        </is>
      </c>
      <c r="L36" s="3" t="inlineStr">
        <is>
          <t>全症例の0％〜24％程度</t>
        </is>
      </c>
      <c r="N36" s="3" t="inlineStr">
        <is>
          <t>全症例の0％〜24％程度</t>
        </is>
      </c>
      <c r="P36" s="3" t="inlineStr">
        <is>
          <t>全症例の0％〜24％程度</t>
        </is>
      </c>
      <c r="R36" s="3" t="inlineStr">
        <is>
          <t>全症例の0％〜24％程度</t>
        </is>
      </c>
      <c r="T36" s="3" t="inlineStr">
        <is>
          <t>実施していない</t>
        </is>
      </c>
      <c r="U36" s="3" t="inlineStr">
        <is>
          <t>握力、膝伸展筋力など上記の上から8つ目までは歩ける患者の多くで体力構成要素の検査として実施していますが、「サルコペニア」の評価としては実施していません。</t>
        </is>
      </c>
      <c r="V36" s="3" t="inlineStr">
        <is>
          <t>実施していない</t>
        </is>
      </c>
      <c r="W36" s="3" t="inlineStr">
        <is>
          <t>フレイルの評価をする視点がないため（フレイルであっても急性発症した疾病や手術後の影響が大きいためその視点でのアセスメントはできないため）</t>
        </is>
      </c>
      <c r="X36" s="3" t="inlineStr">
        <is>
          <t>実施していない</t>
        </is>
      </c>
      <c r="Y36" s="3" t="inlineStr">
        <is>
          <t>Q11とおなじ理由</t>
        </is>
      </c>
      <c r="Z36" s="3" t="inlineStr">
        <is>
          <t>Barthel Index（BI）, FIM</t>
        </is>
      </c>
      <c r="AB36" s="3" t="inlineStr">
        <is>
          <t>MMSE</t>
        </is>
      </c>
      <c r="AD36" s="3" t="inlineStr">
        <is>
          <t>定量的な下肢筋力測定, 開眼片脚立位時間, TUG, 10m歩行速度, 5回椅子立ち上がりテスト, 認知機能</t>
        </is>
      </c>
      <c r="AF36" s="3" t="inlineStr">
        <is>
          <t>決まっていない</t>
        </is>
      </c>
      <c r="AH36" s="3" t="inlineStr">
        <is>
          <t>日にちではなく、機能状態の改善程度を参考に決めています。</t>
        </is>
      </c>
      <c r="AI36" s="3" t="inlineStr">
        <is>
          <t>下肢筋力強化, バランス練習, 歩行練習, 歩容改善, 環境調整, 補助具、装具の適正化, 教育、指導</t>
        </is>
      </c>
    </row>
    <row r="37" ht="22.5" customHeight="1">
      <c r="A37" s="32" t="n">
        <v>46085.65377942129</v>
      </c>
      <c r="B37" s="3" t="inlineStr">
        <is>
          <t>坂本　大和</t>
        </is>
      </c>
      <c r="C37" s="3" t="inlineStr">
        <is>
          <t>社会医療法人大成会　福岡記念病院</t>
        </is>
      </c>
      <c r="D37" s="3" t="inlineStr">
        <is>
          <t>福岡県</t>
        </is>
      </c>
      <c r="E37" s="3" t="inlineStr">
        <is>
          <t>yappariyoshida@gmail.com</t>
        </is>
      </c>
      <c r="F37" s="3" t="inlineStr">
        <is>
          <t>リハビリテーション科／理学療法士</t>
        </is>
      </c>
      <c r="G37" s="3" t="n">
        <v>225</v>
      </c>
      <c r="H37" s="3" t="n">
        <v>14</v>
      </c>
      <c r="I37" s="3" t="n">
        <v>9</v>
      </c>
      <c r="J37" s="3" t="inlineStr">
        <is>
          <t>届け出をしておらず、検討もしていない</t>
        </is>
      </c>
      <c r="K37" s="3" t="inlineStr">
        <is>
          <t>DVT予防, リラクセーション, ポジショニング, 自主運動指導, 術後リハビリテーションのオリエンテーション, 離床（例：車椅子移乗,立位,歩行など）, 全症例には介入しておらず、入院から手術までの待機期間が長くなるケースのみ術前介入している。</t>
        </is>
      </c>
      <c r="L37" s="3" t="inlineStr">
        <is>
          <t>全症例の25％〜49％程度</t>
        </is>
      </c>
      <c r="N37" s="3" t="inlineStr">
        <is>
          <t>全症例の25％〜49％程度</t>
        </is>
      </c>
      <c r="P37" s="3" t="inlineStr">
        <is>
          <t>全症例の0％〜24％程度</t>
        </is>
      </c>
      <c r="R37" s="3" t="inlineStr">
        <is>
          <t>全症例の0％〜24％程度</t>
        </is>
      </c>
      <c r="T37" s="3" t="inlineStr">
        <is>
          <t>SPPB, 下腿周径, 急性期病院のため、患者が安全に評価できる状況にない。</t>
        </is>
      </c>
      <c r="V37" s="3" t="inlineStr">
        <is>
          <t>認知機能</t>
        </is>
      </c>
      <c r="X37" s="3" t="inlineStr">
        <is>
          <t>実施していない</t>
        </is>
      </c>
      <c r="Y37" s="3" t="inlineStr">
        <is>
          <t>スタッフの認識と知識がない。</t>
        </is>
      </c>
      <c r="Z37" s="3" t="inlineStr">
        <is>
          <t>Barthel Index（BI）</t>
        </is>
      </c>
      <c r="AB37" s="3" t="inlineStr">
        <is>
          <t>MMSE, HDS-R</t>
        </is>
      </c>
      <c r="AD37" s="3" t="inlineStr">
        <is>
          <t>入院前と退院時の屋内、屋外での歩行状況の評価を実施している。</t>
        </is>
      </c>
      <c r="AF37" s="3" t="inlineStr">
        <is>
          <t>決まっている</t>
        </is>
      </c>
      <c r="AG37" s="3" t="inlineStr">
        <is>
          <t>退院前には、評価項目を入力するようになっている。</t>
        </is>
      </c>
      <c r="AI37" s="3" t="inlineStr">
        <is>
          <t>下肢筋力強化, バランス練習, 歩行練習, 歩容改善, 環境調整, 補助具、装具の適正化</t>
        </is>
      </c>
    </row>
    <row r="38" ht="22.5" customHeight="1">
      <c r="A38" s="32" t="n">
        <v>46085.67501829861</v>
      </c>
      <c r="B38" s="3" t="inlineStr">
        <is>
          <t>稲井　勲</t>
        </is>
      </c>
      <c r="C38" s="3" t="inlineStr">
        <is>
          <t>香川県済生会病院</t>
        </is>
      </c>
      <c r="D38" s="3" t="inlineStr">
        <is>
          <t>香川県</t>
        </is>
      </c>
      <c r="E38" s="3" t="inlineStr">
        <is>
          <t>saiseikaikagawa@mf.pikara.ne.jp</t>
        </is>
      </c>
      <c r="F38" s="3" t="inlineStr">
        <is>
          <t>リハビリテーション科理学療法士</t>
        </is>
      </c>
      <c r="G38" s="3" t="n">
        <v>64</v>
      </c>
      <c r="H38" s="3" t="n">
        <v>10</v>
      </c>
      <c r="I38" s="3" t="n">
        <v>8</v>
      </c>
      <c r="J38" s="3" t="inlineStr">
        <is>
          <t>届け出はしていないが、現在検討中である</t>
        </is>
      </c>
      <c r="K38" s="3" t="inlineStr">
        <is>
          <t>実施していない</t>
        </is>
      </c>
      <c r="L38" s="3" t="inlineStr">
        <is>
          <t>全症例の0％〜24％程度</t>
        </is>
      </c>
      <c r="N38" s="3" t="inlineStr">
        <is>
          <t>全症例の0％〜24％程度</t>
        </is>
      </c>
      <c r="P38" s="3" t="inlineStr">
        <is>
          <t>全症例の0％〜24％程度</t>
        </is>
      </c>
      <c r="R38" s="3" t="inlineStr">
        <is>
          <t>全症例の0％〜24％程度</t>
        </is>
      </c>
      <c r="T38" s="3" t="inlineStr">
        <is>
          <t xml:space="preserve">実施していない, </t>
        </is>
      </c>
      <c r="U38" s="3" t="inlineStr">
        <is>
          <t>個人の評価法による</t>
        </is>
      </c>
      <c r="V38" s="3" t="inlineStr">
        <is>
          <t>実施していない</t>
        </is>
      </c>
      <c r="X38" s="3" t="inlineStr">
        <is>
          <t>実施していない</t>
        </is>
      </c>
      <c r="Z38" s="3" t="inlineStr">
        <is>
          <t>FIM</t>
        </is>
      </c>
      <c r="AB38" s="3" t="inlineStr">
        <is>
          <t>MMSE, HDS-R</t>
        </is>
      </c>
      <c r="AD38" s="3" t="inlineStr">
        <is>
          <t>実施していない</t>
        </is>
      </c>
      <c r="AI38" s="3" t="inlineStr">
        <is>
          <t>下肢筋力強化, バランス練習, 歩行練習, 環境調整</t>
        </is>
      </c>
    </row>
    <row r="39" ht="22.5" customHeight="1">
      <c r="A39" s="32" t="n">
        <v>46085.68016346065</v>
      </c>
      <c r="B39" s="3" t="inlineStr">
        <is>
          <t>照屋俊樹</t>
        </is>
      </c>
      <c r="C39" s="3" t="inlineStr">
        <is>
          <t>社会医療法人かりゆし会ハートライフ病院</t>
        </is>
      </c>
      <c r="D39" s="3" t="inlineStr">
        <is>
          <t>沖縄県</t>
        </is>
      </c>
      <c r="E39" s="3" t="inlineStr">
        <is>
          <t>reha@heartlife.or.jp</t>
        </is>
      </c>
      <c r="F39" s="3" t="inlineStr">
        <is>
          <t>リハビリテーション科／理学療法士</t>
        </is>
      </c>
      <c r="G39" s="3" t="n">
        <v>190</v>
      </c>
      <c r="H39" s="3" t="n">
        <v>15</v>
      </c>
      <c r="I39" s="3" t="n">
        <v>5</v>
      </c>
      <c r="J39" s="3" t="inlineStr">
        <is>
          <t>届け出はしていないが、現在検討中である</t>
        </is>
      </c>
      <c r="K39" s="3" t="inlineStr">
        <is>
          <t>関節可動域運動, 筋力増強運動, DVT予防, リラクセーション, ポジショニング, 術後リハビリテーションのオリエンテーション, 離床（例：車椅子移乗,立位,歩行など）</t>
        </is>
      </c>
      <c r="L39" s="3" t="inlineStr">
        <is>
          <t>全症例の50％〜74％程度</t>
        </is>
      </c>
      <c r="M39" s="3" t="inlineStr">
        <is>
          <t>早期離床行い、動作能力を看護師へ報告し、トイレ誘導の依頼を行っている</t>
        </is>
      </c>
      <c r="N39" s="3" t="inlineStr">
        <is>
          <t>全症例の25％〜49％程度</t>
        </is>
      </c>
      <c r="P39" s="3" t="inlineStr">
        <is>
          <t>全症例の25％〜49％程度</t>
        </is>
      </c>
      <c r="R39" s="3" t="inlineStr">
        <is>
          <t>全症例の0％〜24％程度</t>
        </is>
      </c>
      <c r="T39" s="3" t="inlineStr">
        <is>
          <t>実施していない</t>
        </is>
      </c>
      <c r="U39" s="3" t="inlineStr">
        <is>
          <t>動作能力の改善度合いで評価しているため</t>
        </is>
      </c>
      <c r="V39" s="3" t="inlineStr">
        <is>
          <t>実施していない</t>
        </is>
      </c>
      <c r="W39" s="3" t="inlineStr">
        <is>
          <t>動作能力の改善度合いで評価しているため</t>
        </is>
      </c>
      <c r="X39" s="3" t="inlineStr">
        <is>
          <t>立ち上がりテスト</t>
        </is>
      </c>
      <c r="Z39" s="3" t="inlineStr">
        <is>
          <t>FIM</t>
        </is>
      </c>
      <c r="AB39" s="3" t="inlineStr">
        <is>
          <t>MMSE, HDS-R</t>
        </is>
      </c>
      <c r="AD39" s="3" t="inlineStr">
        <is>
          <t>注意障害, せん妄, 過去の転倒歴, 既往疾患の有無（脳血管疾患、パーキンソン病など）, 薬剤（向精神薬、降圧薬、利尿薬、ポリファーマシーなど）, ベッド周囲および病室環境</t>
        </is>
      </c>
      <c r="AF39" s="3" t="inlineStr">
        <is>
          <t>決まっている</t>
        </is>
      </c>
      <c r="AG39" s="3" t="inlineStr">
        <is>
          <t>毎週</t>
        </is>
      </c>
      <c r="AI39" s="3" t="inlineStr">
        <is>
          <t>下肢筋力強化, バランス練習, 歩行練習, 歩容改善, 起立、着座動作練習, 環境調整, 補助具、装具の適正化, 認知面への介入, 行動面への介入, 教育、指導</t>
        </is>
      </c>
    </row>
    <row r="40" ht="22.5" customHeight="1">
      <c r="A40" s="32" t="n">
        <v>46085.70841809027</v>
      </c>
      <c r="B40" s="3" t="inlineStr">
        <is>
          <t>望月弘己</t>
        </is>
      </c>
      <c r="C40" s="3" t="inlineStr">
        <is>
          <t>香芝生喜病院</t>
        </is>
      </c>
      <c r="D40" s="3" t="inlineStr">
        <is>
          <t>奈良県</t>
        </is>
      </c>
      <c r="E40" s="3" t="inlineStr">
        <is>
          <t>mochimochihiromi@gmail.com</t>
        </is>
      </c>
      <c r="F40" s="3" t="inlineStr">
        <is>
          <t>リハビリテーション室　理学療法士</t>
        </is>
      </c>
      <c r="G40" s="3" t="n">
        <v>110</v>
      </c>
      <c r="H40" s="3" t="n">
        <v>11</v>
      </c>
      <c r="I40" s="3" t="n">
        <v>7</v>
      </c>
      <c r="J40" s="3" t="inlineStr">
        <is>
          <t>届け出をしておらず、検討もしていない</t>
        </is>
      </c>
      <c r="K40" s="3" t="inlineStr">
        <is>
          <t>関節可動域運動, 筋力増強運動, ポジショニング, 自主運動指導</t>
        </is>
      </c>
      <c r="L40" s="3" t="inlineStr">
        <is>
          <t>全症例の50％〜74％程度</t>
        </is>
      </c>
      <c r="M40" s="3" t="inlineStr">
        <is>
          <t xml:space="preserve">十分な介助　</t>
        </is>
      </c>
      <c r="N40" s="3" t="inlineStr">
        <is>
          <t>全症例の25％〜49％程度</t>
        </is>
      </c>
      <c r="P40" s="3" t="inlineStr">
        <is>
          <t>全症例の0％〜24％程度</t>
        </is>
      </c>
      <c r="R40" s="3" t="inlineStr">
        <is>
          <t>全症例の0％〜24％程度</t>
        </is>
      </c>
      <c r="T40" s="3" t="inlineStr">
        <is>
          <t>握力, 膝伸展筋力, FIM</t>
        </is>
      </c>
      <c r="V40" s="3" t="inlineStr">
        <is>
          <t>握力</t>
        </is>
      </c>
      <c r="X40" s="3" t="inlineStr">
        <is>
          <t>実施していない</t>
        </is>
      </c>
      <c r="Y40" s="3" t="inlineStr">
        <is>
          <t>知識が不十分</t>
        </is>
      </c>
      <c r="Z40" s="3" t="inlineStr">
        <is>
          <t>FIM</t>
        </is>
      </c>
      <c r="AB40" s="3" t="inlineStr">
        <is>
          <t>MMSE, HDS-R</t>
        </is>
      </c>
      <c r="AD40" s="3" t="inlineStr">
        <is>
          <t>深部感覚評価, 認知機能, 注意障害, せん妄, 転倒恐怖感, 過去の転倒歴</t>
        </is>
      </c>
      <c r="AF40" s="3" t="inlineStr">
        <is>
          <t>決まっていない</t>
        </is>
      </c>
      <c r="AI40" s="3" t="inlineStr">
        <is>
          <t>下肢筋力強化, バランス練習, 歩行練習, 歩容改善, 環境調整, 補助具、装具の適正化, 認知面への介入, 行動面への介入, 教育、指導</t>
        </is>
      </c>
    </row>
    <row r="41" ht="22.5" customHeight="1">
      <c r="A41" s="32" t="n">
        <v>46085.70856622685</v>
      </c>
      <c r="B41" s="3" t="inlineStr">
        <is>
          <t>谷　英幸</t>
        </is>
      </c>
      <c r="C41" s="3" t="inlineStr">
        <is>
          <t>社会医療法人財団　大和会　東大和病院</t>
        </is>
      </c>
      <c r="D41" s="3" t="inlineStr">
        <is>
          <t>東京都</t>
        </is>
      </c>
      <c r="E41" s="3" t="inlineStr">
        <is>
          <t>rehabili@yamatokai.or.jp</t>
        </is>
      </c>
      <c r="F41" s="3" t="inlineStr">
        <is>
          <t>リハビリテーション科／理学療法士</t>
        </is>
      </c>
      <c r="G41" s="3" t="n">
        <v>233</v>
      </c>
      <c r="H41" s="3" t="n">
        <v>9</v>
      </c>
      <c r="I41" s="3" t="n">
        <v>4</v>
      </c>
      <c r="J41" s="3" t="inlineStr">
        <is>
          <t>現在、算定している</t>
        </is>
      </c>
      <c r="K41" s="3" t="inlineStr">
        <is>
          <t>関節可動域運動, 筋力増強運動, DVT予防, リラクセーション, ポジショニング, 自主運動指導, 術後リハビリテーションのオリエンテーション, 離床（例：車椅子移乗,立位,歩行など）</t>
        </is>
      </c>
      <c r="L41" s="3" t="inlineStr">
        <is>
          <t>全症例の0％〜24％程度</t>
        </is>
      </c>
      <c r="N41" s="3" t="inlineStr">
        <is>
          <t>全症例の0％〜24％程度</t>
        </is>
      </c>
      <c r="P41" s="3" t="inlineStr">
        <is>
          <t>全症例の0％〜24％程度</t>
        </is>
      </c>
      <c r="R41" s="3" t="inlineStr">
        <is>
          <t>全症例の0％〜24％程度</t>
        </is>
      </c>
      <c r="T41" s="3" t="inlineStr">
        <is>
          <t>握力, 膝伸展筋力, 開眼片脚立位時間</t>
        </is>
      </c>
      <c r="V41" s="3" t="inlineStr">
        <is>
          <t>認知機能, 握力</t>
        </is>
      </c>
      <c r="X41" s="3" t="inlineStr">
        <is>
          <t>MMT、ROM、ADL評価</t>
        </is>
      </c>
      <c r="Z41" s="3" t="inlineStr">
        <is>
          <t>Barthel Index（BI）</t>
        </is>
      </c>
      <c r="AB41" s="3" t="inlineStr">
        <is>
          <t>MMSE</t>
        </is>
      </c>
      <c r="AD41" s="3" t="inlineStr">
        <is>
          <t>開眼片脚立位時間, 認知機能, 過去の転倒歴, 既往疾患の有無（脳血管疾患、パーキンソン病など）, 薬剤（向精神薬、降圧薬、利尿薬、ポリファーマシーなど）, ベッド周囲および病室環境</t>
        </is>
      </c>
      <c r="AF41" s="3" t="inlineStr">
        <is>
          <t>決まっていない</t>
        </is>
      </c>
      <c r="AH41" s="3" t="inlineStr">
        <is>
          <t>術後ADLに準じて適宜実施している</t>
        </is>
      </c>
      <c r="AI41" s="3" t="inlineStr">
        <is>
          <t>下肢筋力強化, バランス練習, 歩行練習, 歩容改善, 起立、着座動作練習, 環境調整, 補助具、装具の適正化, 認知面への介入, 行動面への介入, 教育、指導</t>
        </is>
      </c>
    </row>
    <row r="42" ht="22.5" customHeight="1">
      <c r="A42" s="32" t="n">
        <v>46085.71790462963</v>
      </c>
      <c r="B42" s="3" t="inlineStr">
        <is>
          <t>山口通孝</t>
        </is>
      </c>
      <c r="C42" s="3" t="inlineStr">
        <is>
          <t>西尾市民病院</t>
        </is>
      </c>
      <c r="D42" s="3" t="inlineStr">
        <is>
          <t>愛知県</t>
        </is>
      </c>
      <c r="E42" s="3" t="inlineStr">
        <is>
          <t>rehabilika@hospital.city.nishio.aichi.jp</t>
        </is>
      </c>
      <c r="G42" s="3" t="n">
        <v>216</v>
      </c>
      <c r="H42" s="3" t="n">
        <v>11</v>
      </c>
      <c r="I42" s="3" t="n">
        <v>3</v>
      </c>
      <c r="J42" s="3" t="inlineStr">
        <is>
          <t>届け出をしておらず、検討もしていない</t>
        </is>
      </c>
      <c r="K42" s="3" t="inlineStr">
        <is>
          <t>実施していない</t>
        </is>
      </c>
      <c r="L42" s="3" t="inlineStr">
        <is>
          <t>全症例の0％〜24％程度</t>
        </is>
      </c>
      <c r="N42" s="3" t="inlineStr">
        <is>
          <t>全症例の0％〜24％程度</t>
        </is>
      </c>
      <c r="P42" s="3" t="inlineStr">
        <is>
          <t>全症例の25％〜49％程度</t>
        </is>
      </c>
      <c r="R42" s="3" t="inlineStr">
        <is>
          <t>全症例の0％〜24％程度</t>
        </is>
      </c>
      <c r="T42" s="3" t="inlineStr">
        <is>
          <t>握力, 膝伸展筋力</t>
        </is>
      </c>
      <c r="V42" s="3" t="inlineStr">
        <is>
          <t>握力</t>
        </is>
      </c>
      <c r="X42" s="3" t="inlineStr">
        <is>
          <t>実施していない</t>
        </is>
      </c>
      <c r="Z42" s="3" t="inlineStr">
        <is>
          <t>FIM</t>
        </is>
      </c>
      <c r="AB42" s="3" t="inlineStr">
        <is>
          <t>HDS-R</t>
        </is>
      </c>
      <c r="AD42" s="3" t="inlineStr">
        <is>
          <t>定量的な下肢筋力測定</t>
        </is>
      </c>
      <c r="AF42" s="3" t="inlineStr">
        <is>
          <t>決まっている</t>
        </is>
      </c>
      <c r="AI42" s="3" t="inlineStr">
        <is>
          <t>下肢筋力強化, バランス練習, 歩行練習, 歩容改善, 起立、着座動作練習, 環境調整, 補助具、装具の適正化, 認知面への介入, 教育、指導</t>
        </is>
      </c>
    </row>
    <row r="43" ht="22.5" customHeight="1">
      <c r="A43" s="32" t="n">
        <v>46085.74239354167</v>
      </c>
      <c r="B43" s="3" t="inlineStr">
        <is>
          <t>野﨑　貴博</t>
        </is>
      </c>
      <c r="C43" s="3" t="inlineStr">
        <is>
          <t>医療法人伴帥会　愛野記念病院</t>
        </is>
      </c>
      <c r="D43" s="3" t="inlineStr">
        <is>
          <t>長崎県</t>
        </is>
      </c>
      <c r="E43" s="3" t="inlineStr">
        <is>
          <t>aino-reha@ainomhp.jp</t>
        </is>
      </c>
      <c r="F43" s="3" t="inlineStr">
        <is>
          <t>リハビリテーション部／理学療法士</t>
        </is>
      </c>
      <c r="G43" s="3" t="n">
        <v>60</v>
      </c>
      <c r="H43" s="3" t="n">
        <v>29</v>
      </c>
      <c r="I43" s="3" t="n">
        <v>8</v>
      </c>
      <c r="J43" s="3" t="inlineStr">
        <is>
          <t>現在、算定している</t>
        </is>
      </c>
      <c r="K43" s="3" t="inlineStr">
        <is>
          <t>関節可動域運動, 筋力増強運動, DVT予防, リラクセーション, ポジショニング, 自主運動指導, 術後リハビリテーションのオリエンテーション</t>
        </is>
      </c>
      <c r="L43" s="3" t="inlineStr">
        <is>
          <t>全症例の25％〜49％程度</t>
        </is>
      </c>
      <c r="N43" s="3" t="inlineStr">
        <is>
          <t>全症例の0％〜24％程度</t>
        </is>
      </c>
      <c r="P43" s="3" t="inlineStr">
        <is>
          <t>全症例の0％〜24％程度</t>
        </is>
      </c>
      <c r="R43" s="3" t="inlineStr">
        <is>
          <t>全症例の0％〜24％程度</t>
        </is>
      </c>
      <c r="T43" s="3" t="inlineStr">
        <is>
          <t>握力, 5回椅子立ち上がりテスト, 歩行速度, TUG, 開眼片脚立位時間</t>
        </is>
      </c>
      <c r="V43" s="3" t="inlineStr">
        <is>
          <t>J-CHS基準, TUG, 握力</t>
        </is>
      </c>
      <c r="X43" s="3" t="inlineStr">
        <is>
          <t>立ち上がりテスト, 2ステップテスト</t>
        </is>
      </c>
      <c r="Z43" s="3" t="inlineStr">
        <is>
          <t>Barthel Index（BI）, FIM</t>
        </is>
      </c>
      <c r="AB43" s="3" t="inlineStr">
        <is>
          <t>HDS-R</t>
        </is>
      </c>
      <c r="AD43" s="3" t="inlineStr">
        <is>
          <t>認知機能, 注意障害, せん妄, 過去の転倒歴, 既往疾患の有無（脳血管疾患、パーキンソン病など）, ベッド周囲および病室環境</t>
        </is>
      </c>
      <c r="AF43" s="3" t="inlineStr">
        <is>
          <t>決まっている</t>
        </is>
      </c>
      <c r="AG43" s="3" t="inlineStr">
        <is>
          <t>1日目</t>
        </is>
      </c>
      <c r="AI43" s="3" t="inlineStr">
        <is>
          <t>下肢筋力強化, バランス練習, 歩行練習, 起立、着座動作練習, 環境調整, 補助具、装具の適正化, 教育、指導</t>
        </is>
      </c>
    </row>
    <row r="44" ht="22.5" customHeight="1">
      <c r="A44" s="32" t="n">
        <v>46085.75742767361</v>
      </c>
      <c r="B44" s="3" t="inlineStr">
        <is>
          <t>永井　健太</t>
        </is>
      </c>
      <c r="C44" s="3" t="inlineStr">
        <is>
          <t>社会医療法人栄公会　佐野記念病院</t>
        </is>
      </c>
      <c r="D44" s="3" t="inlineStr">
        <is>
          <t>大阪府</t>
        </is>
      </c>
      <c r="E44" s="3" t="inlineStr">
        <is>
          <t>k_nagai@sanokinen.jp</t>
        </is>
      </c>
      <c r="F44" s="3" t="inlineStr">
        <is>
          <t>リハビリテーション部</t>
        </is>
      </c>
      <c r="G44" s="3" t="n">
        <v>242</v>
      </c>
      <c r="H44" s="3" t="n">
        <v>39</v>
      </c>
      <c r="I44" s="3" t="n">
        <v>22</v>
      </c>
      <c r="J44" s="3" t="inlineStr">
        <is>
          <t>届け出はしていないが、現在検討中である</t>
        </is>
      </c>
      <c r="K44" s="3" t="inlineStr">
        <is>
          <t>関節可動域運動, 筋力増強運動, DVT予防, リラクセーション, ポジショニング, 自主運動指導, 術後リハビリテーションのオリエンテーション, 離床（例：車椅子移乗,立位,歩行など）</t>
        </is>
      </c>
      <c r="L44" s="3" t="inlineStr">
        <is>
          <t>全症例の0％〜24％程度</t>
        </is>
      </c>
      <c r="N44" s="3" t="inlineStr">
        <is>
          <t>全症例の0％〜24％程度</t>
        </is>
      </c>
      <c r="P44" s="3" t="inlineStr">
        <is>
          <t>全症例の0％〜24％程度</t>
        </is>
      </c>
      <c r="R44" s="3" t="inlineStr">
        <is>
          <t>全症例の0％〜24％程度</t>
        </is>
      </c>
      <c r="T44" s="3" t="inlineStr">
        <is>
          <t>握力, 膝伸展筋力, 5回椅子立ち上がりテスト, 歩行速度, TUG, 開眼片脚立位時間, 骨格筋量指数（SMI）</t>
        </is>
      </c>
      <c r="V44" s="3" t="inlineStr">
        <is>
          <t>TUG, 認知機能, 握力</t>
        </is>
      </c>
      <c r="X44" s="3" t="inlineStr">
        <is>
          <t>立ち上がりテスト</t>
        </is>
      </c>
      <c r="Z44" s="3" t="inlineStr">
        <is>
          <t>Barthel Index（BI）, FIM</t>
        </is>
      </c>
      <c r="AB44" s="3" t="inlineStr">
        <is>
          <t>MMSE, HDS-R, MoCA</t>
        </is>
      </c>
      <c r="AD44" s="3" t="inlineStr">
        <is>
          <t>定量的な下肢筋力測定, 開眼片脚立位時間, TUG, 10m歩行速度, Berg Balance Scale（BBS）, 5回椅子立ち上がりテスト, 認知機能, 注意障害, せん妄, 転倒恐怖感, 過去の転倒歴, 既往疾患の有無（脳血管疾患、パーキンソン病など）, ベッド周囲および病室環境</t>
        </is>
      </c>
      <c r="AF44" s="3" t="inlineStr">
        <is>
          <t>決まっている</t>
        </is>
      </c>
      <c r="AG44" s="3" t="inlineStr">
        <is>
          <t>術後２週間後、退院時</t>
        </is>
      </c>
      <c r="AI44" s="3" t="inlineStr">
        <is>
          <t>下肢筋力強化, バランス練習, 歩行練習, 歩容改善, 起立、着座動作練習, 環境調整, 補助具、装具の適正化, 認知面への介入, 行動面への介入, 教育、指導</t>
        </is>
      </c>
    </row>
    <row r="45" ht="22.5" customHeight="1">
      <c r="A45" s="32" t="n">
        <v>46085.76971116898</v>
      </c>
      <c r="B45" s="3" t="inlineStr">
        <is>
          <t>鷺池　一幸</t>
        </is>
      </c>
      <c r="C45" s="3" t="inlineStr">
        <is>
          <t>独立行政法人国立病院機構　相模原病院</t>
        </is>
      </c>
      <c r="D45" s="3" t="inlineStr">
        <is>
          <t>神奈川県</t>
        </is>
      </c>
      <c r="E45" s="3" t="inlineStr">
        <is>
          <t>sagiike.kazuyuki.ka@mail.hosp.go.jp</t>
        </is>
      </c>
      <c r="F45" s="3" t="inlineStr">
        <is>
          <t>理学療法士</t>
        </is>
      </c>
      <c r="G45" s="3" t="n">
        <v>159</v>
      </c>
      <c r="H45" s="3" t="n">
        <v>11</v>
      </c>
      <c r="I45" s="3" t="n">
        <v>7</v>
      </c>
      <c r="J45" s="3" t="inlineStr">
        <is>
          <t>届け出をしておらず、検討もしていない</t>
        </is>
      </c>
      <c r="K45" s="3" t="inlineStr">
        <is>
          <t>関節可動域運動, 筋力増強運動, 呼吸リハビリテーション, リラクセーション, ポジショニング, 自主運動指導, 術後リハビリテーションのオリエンテーション</t>
        </is>
      </c>
      <c r="L45" s="3" t="inlineStr">
        <is>
          <t>全症例の75％〜100％程度</t>
        </is>
      </c>
      <c r="M45" s="3" t="inlineStr">
        <is>
          <t>早期介入</t>
        </is>
      </c>
      <c r="N45" s="3" t="inlineStr">
        <is>
          <t>全症例の25％〜49％程度</t>
        </is>
      </c>
      <c r="P45" s="3" t="inlineStr">
        <is>
          <t>全症例の25％〜49％程度</t>
        </is>
      </c>
      <c r="R45" s="3" t="inlineStr">
        <is>
          <t>全症例の25％〜49％程度</t>
        </is>
      </c>
      <c r="T45" s="3" t="inlineStr">
        <is>
          <t>実施していない</t>
        </is>
      </c>
      <c r="U45" s="3" t="inlineStr">
        <is>
          <t>マンパワー不足のため介入時間が取れていない。</t>
        </is>
      </c>
      <c r="V45" s="3" t="inlineStr">
        <is>
          <t>実施していない</t>
        </is>
      </c>
      <c r="W45" s="3" t="inlineStr">
        <is>
          <t>マンパワー不足のため介入時間が取れていない。</t>
        </is>
      </c>
      <c r="X45" s="3" t="inlineStr">
        <is>
          <t>実施していない</t>
        </is>
      </c>
      <c r="Y45" s="3" t="inlineStr">
        <is>
          <t>マンパワー不足のため介入時間が取れていない。</t>
        </is>
      </c>
      <c r="Z45" s="3" t="inlineStr">
        <is>
          <t>Barthel Index（BI）</t>
        </is>
      </c>
      <c r="AB45" s="3" t="inlineStr">
        <is>
          <t>実施していない</t>
        </is>
      </c>
      <c r="AC45" s="3" t="inlineStr">
        <is>
          <t>マンパワー不足のため介入時間が取れていない。</t>
        </is>
      </c>
      <c r="AD45" s="3" t="inlineStr">
        <is>
          <t>ベッド周囲および病室環境</t>
        </is>
      </c>
      <c r="AF45" s="3" t="inlineStr">
        <is>
          <t>決まっていない</t>
        </is>
      </c>
      <c r="AI45" s="3" t="inlineStr">
        <is>
          <t>下肢筋力強化, バランス練習, 歩行練習, 歩容改善, 起立、着座動作練習, 環境調整, 教育、指導</t>
        </is>
      </c>
    </row>
    <row r="46" ht="22.5" customHeight="1">
      <c r="A46" s="32" t="n">
        <v>46085.77214520834</v>
      </c>
      <c r="B46" s="3" t="inlineStr">
        <is>
          <t>河合卓哉</t>
        </is>
      </c>
      <c r="C46" s="3" t="inlineStr">
        <is>
          <t>医療法人藤井会　大東中央病院</t>
        </is>
      </c>
      <c r="D46" s="3" t="inlineStr">
        <is>
          <t>大阪府</t>
        </is>
      </c>
      <c r="E46" s="3" t="inlineStr">
        <is>
          <t>daitoreha.fujiikai@gmail.com</t>
        </is>
      </c>
      <c r="F46" s="3" t="inlineStr">
        <is>
          <t>リハビリテーション室/理学療法士</t>
        </is>
      </c>
      <c r="G46" s="3" t="n">
        <v>150</v>
      </c>
      <c r="H46" s="3" t="n">
        <v>8</v>
      </c>
      <c r="I46" s="3" t="n">
        <v>0</v>
      </c>
      <c r="J46" s="3" t="inlineStr">
        <is>
          <t>届け出をしておらず、検討もしていない</t>
        </is>
      </c>
      <c r="K46" s="3" t="inlineStr">
        <is>
          <t>関節可動域運動, 筋力増強運動, DVT予防, リラクセーション, ポジショニング, 自主運動指導, 術後リハビリテーションのオリエンテーション</t>
        </is>
      </c>
      <c r="L46" s="3" t="inlineStr">
        <is>
          <t>全症例の0％〜24％程度</t>
        </is>
      </c>
      <c r="N46" s="3" t="inlineStr">
        <is>
          <t>全症例の0％〜24％程度</t>
        </is>
      </c>
      <c r="P46" s="3" t="inlineStr">
        <is>
          <t>全症例の0％〜24％程度</t>
        </is>
      </c>
      <c r="R46" s="3" t="inlineStr">
        <is>
          <t>全症例の0％〜24％程度</t>
        </is>
      </c>
      <c r="T46" s="3" t="inlineStr">
        <is>
          <t>実施していない</t>
        </is>
      </c>
      <c r="U46" s="3" t="inlineStr">
        <is>
          <t>急性期であり、疼痛や筋力低下等が強く評価実施が困難なため。</t>
        </is>
      </c>
      <c r="V46" s="3" t="inlineStr">
        <is>
          <t>実施していない</t>
        </is>
      </c>
      <c r="W46" s="3" t="inlineStr">
        <is>
          <t>急性期であり、疼痛や筋力低下等が強く評価実施が困難なため。</t>
        </is>
      </c>
      <c r="X46" s="3" t="inlineStr">
        <is>
          <t>実施していない</t>
        </is>
      </c>
      <c r="Y46" s="3" t="inlineStr">
        <is>
          <t>急性期であり、疼痛や筋力低下等が強く評価実施が困難なため。</t>
        </is>
      </c>
      <c r="Z46" s="3" t="inlineStr">
        <is>
          <t>FIM</t>
        </is>
      </c>
      <c r="AB46" s="3" t="inlineStr">
        <is>
          <t>HDS-R</t>
        </is>
      </c>
      <c r="AD46" s="3" t="inlineStr">
        <is>
          <t>実施していない</t>
        </is>
      </c>
      <c r="AI46" s="3" t="inlineStr">
        <is>
          <t>下肢筋力強化, 起立、着座動作練習, 環境調整, 教育、指導</t>
        </is>
      </c>
    </row>
    <row r="47" ht="22.5" customHeight="1">
      <c r="A47" s="32" t="n">
        <v>46086.56694697917</v>
      </c>
      <c r="B47" s="3" t="inlineStr">
        <is>
          <t>國分　隆行</t>
        </is>
      </c>
      <c r="C47" s="3" t="inlineStr">
        <is>
          <t>社会医療法人恵仁会くろさわ病院</t>
        </is>
      </c>
      <c r="D47" s="3" t="inlineStr">
        <is>
          <t>長野県</t>
        </is>
      </c>
      <c r="E47" s="3" t="inlineStr">
        <is>
          <t>k1260@keijinnet.or.jp</t>
        </is>
      </c>
      <c r="F47" s="3" t="inlineStr">
        <is>
          <t>リハビリテーションセンター／理学療法士</t>
        </is>
      </c>
      <c r="G47" s="3" t="n">
        <v>89</v>
      </c>
      <c r="H47" s="3" t="n">
        <v>20</v>
      </c>
      <c r="I47" s="3" t="n">
        <v>10</v>
      </c>
      <c r="J47" s="3" t="inlineStr">
        <is>
          <t>届け出をしておらず、検討もしていない</t>
        </is>
      </c>
      <c r="K47" s="3" t="inlineStr">
        <is>
          <t>関節可動域運動, 筋力増強運動, DVT予防, リラクセーション, ポジショニング, 術後リハビリテーションのオリエンテーション</t>
        </is>
      </c>
      <c r="L47" s="3" t="inlineStr">
        <is>
          <t>全症例の25％〜49％程度</t>
        </is>
      </c>
      <c r="N47" s="3" t="inlineStr">
        <is>
          <t>全症例の50％〜74％程度</t>
        </is>
      </c>
      <c r="P47" s="3" t="inlineStr">
        <is>
          <t>全症例の0％〜24％程度</t>
        </is>
      </c>
      <c r="R47" s="3" t="inlineStr">
        <is>
          <t>全症例の0％〜24％程度</t>
        </is>
      </c>
      <c r="T47" s="3" t="inlineStr">
        <is>
          <t>TUG, 下腿周径</t>
        </is>
      </c>
      <c r="V47" s="3" t="inlineStr">
        <is>
          <t>TUG</t>
        </is>
      </c>
      <c r="X47" s="3" t="inlineStr">
        <is>
          <t>実施していない</t>
        </is>
      </c>
      <c r="Y47" s="3" t="inlineStr">
        <is>
          <t>必要性を感じていない</t>
        </is>
      </c>
      <c r="Z47" s="3" t="inlineStr">
        <is>
          <t>Barthel Index（BI）, FIM</t>
        </is>
      </c>
      <c r="AB47" s="3" t="inlineStr">
        <is>
          <t>MMSE, HDS-R, MoCA</t>
        </is>
      </c>
      <c r="AD47" s="3" t="inlineStr">
        <is>
          <t>TUG, 認知機能</t>
        </is>
      </c>
      <c r="AF47" s="3" t="inlineStr">
        <is>
          <t>決まっている</t>
        </is>
      </c>
      <c r="AG47" s="3" t="inlineStr">
        <is>
          <t>術後14日、30日、90日、120日、365日</t>
        </is>
      </c>
      <c r="AI47" s="3" t="inlineStr">
        <is>
          <t>下肢筋力強化, バランス練習, 歩行練習, 歩容改善, 起立、着座動作練習, 環境調整, 補助具、装具の適正化, 認知面への介入, 行動面への介入, 教育、指導</t>
        </is>
      </c>
    </row>
    <row r="48" ht="22.5" customHeight="1">
      <c r="A48" s="32" t="n">
        <v>46086.65174525463</v>
      </c>
      <c r="B48" s="3" t="inlineStr">
        <is>
          <t>青柳秀和</t>
        </is>
      </c>
      <c r="C48" s="3" t="inlineStr">
        <is>
          <t>八潮中央総合病院</t>
        </is>
      </c>
      <c r="D48" s="3" t="inlineStr">
        <is>
          <t>埼玉県</t>
        </is>
      </c>
      <c r="E48" s="3" t="inlineStr">
        <is>
          <t>hidekazu.aoyagi@yashio-cgh.jp</t>
        </is>
      </c>
      <c r="F48" s="3" t="inlineStr">
        <is>
          <t>リハビリテーション科/理学療法士</t>
        </is>
      </c>
      <c r="G48" s="3" t="n">
        <v>80</v>
      </c>
      <c r="H48" s="3" t="n">
        <v>17</v>
      </c>
      <c r="I48" s="3" t="n">
        <v>8</v>
      </c>
      <c r="J48" s="3" t="inlineStr">
        <is>
          <t>届け出はしていないが、現在検討中である</t>
        </is>
      </c>
      <c r="K48" s="3" t="inlineStr">
        <is>
          <t>関節可動域運動, 筋力増強運動, 呼吸リハビリテーション, DVT予防, リラクセーション, ポジショニング, 自主運動指導</t>
        </is>
      </c>
      <c r="L48" s="3" t="inlineStr">
        <is>
          <t>全症例の25％〜49％程度</t>
        </is>
      </c>
      <c r="N48" s="3" t="inlineStr">
        <is>
          <t>全症例の0％〜24％程度</t>
        </is>
      </c>
      <c r="P48" s="3" t="inlineStr">
        <is>
          <t>全症例の0％〜24％程度</t>
        </is>
      </c>
      <c r="R48" s="3" t="inlineStr">
        <is>
          <t>全症例の0％〜24％程度</t>
        </is>
      </c>
      <c r="T48" s="3" t="inlineStr">
        <is>
          <t>歩行速度, TUG, 開眼片脚立位時間</t>
        </is>
      </c>
      <c r="V48" s="3" t="inlineStr">
        <is>
          <t>TUG, 認知機能</t>
        </is>
      </c>
      <c r="X48" s="3" t="inlineStr">
        <is>
          <t>実施していない</t>
        </is>
      </c>
      <c r="Y48" s="3" t="inlineStr">
        <is>
          <t>現場の教育、体制整備ができていないため。</t>
        </is>
      </c>
      <c r="Z48" s="3" t="inlineStr">
        <is>
          <t>Barthel Index（BI）</t>
        </is>
      </c>
      <c r="AB48" s="3" t="inlineStr">
        <is>
          <t>MMSE, AMTS</t>
        </is>
      </c>
      <c r="AD48" s="3" t="inlineStr">
        <is>
          <t>Berg Balance Scale（BBS）</t>
        </is>
      </c>
      <c r="AF48" s="3" t="inlineStr">
        <is>
          <t>決まっている</t>
        </is>
      </c>
      <c r="AG48" s="3" t="inlineStr">
        <is>
          <t>退院前日</t>
        </is>
      </c>
      <c r="AI48" s="3" t="inlineStr">
        <is>
          <t>下肢筋力強化, バランス練習, 歩行練習, 歩容改善, 起立、着座動作練習, 環境調整, 補助具、装具の適正化, 認知面への介入, 行動面への介入, 教育、指導</t>
        </is>
      </c>
    </row>
    <row r="49" ht="22.5" customHeight="1">
      <c r="A49" s="32" t="n">
        <v>46086.73619740741</v>
      </c>
      <c r="B49" s="3" t="inlineStr">
        <is>
          <t>滝口孝彦</t>
        </is>
      </c>
      <c r="C49" s="3" t="inlineStr">
        <is>
          <t>公立学校共済組合　東北中央病院</t>
        </is>
      </c>
      <c r="D49" s="3" t="inlineStr">
        <is>
          <t>山形県</t>
        </is>
      </c>
      <c r="E49" s="3" t="inlineStr">
        <is>
          <t>rihabiri@tohoku-ctr-hsp.com</t>
        </is>
      </c>
      <c r="G49" s="3" t="n">
        <v>91</v>
      </c>
      <c r="H49" s="3" t="n">
        <v>12</v>
      </c>
      <c r="I49" s="3" t="n">
        <v>2</v>
      </c>
      <c r="J49" s="3" t="inlineStr">
        <is>
          <t>届け出をしておらず、検討もしていない</t>
        </is>
      </c>
      <c r="K49" s="3" t="inlineStr">
        <is>
          <t>関節可動域運動, 筋力増強運動, 自主運動指導, 術後リハビリテーションのオリエンテーション</t>
        </is>
      </c>
      <c r="L49" s="3" t="inlineStr">
        <is>
          <t>全症例の25％〜49％程度</t>
        </is>
      </c>
      <c r="M49" s="3" t="inlineStr">
        <is>
          <t>術前のオリエンテーションと早期介入</t>
        </is>
      </c>
      <c r="N49" s="3" t="inlineStr">
        <is>
          <t>全症例の0％〜24％程度</t>
        </is>
      </c>
      <c r="P49" s="3" t="inlineStr">
        <is>
          <t>全症例の0％〜24％程度</t>
        </is>
      </c>
      <c r="R49" s="3" t="inlineStr">
        <is>
          <t>全症例の0％〜24％程度</t>
        </is>
      </c>
      <c r="T49" s="3" t="inlineStr">
        <is>
          <t>握力, 膝伸展筋力</t>
        </is>
      </c>
      <c r="V49" s="3" t="inlineStr">
        <is>
          <t>認知機能, 握力</t>
        </is>
      </c>
      <c r="X49" s="3" t="inlineStr">
        <is>
          <t>実施していない</t>
        </is>
      </c>
      <c r="Y49" s="3" t="inlineStr">
        <is>
          <t>ケースによって実施</t>
        </is>
      </c>
      <c r="Z49" s="3" t="inlineStr">
        <is>
          <t>FIM</t>
        </is>
      </c>
      <c r="AB49" s="3" t="inlineStr">
        <is>
          <t>実施していない</t>
        </is>
      </c>
      <c r="AC49" s="3" t="inlineStr">
        <is>
          <t>心理療法士に依頼</t>
        </is>
      </c>
      <c r="AD49" s="3" t="inlineStr">
        <is>
          <t>10m歩行速度, 深部感覚評価, 認知機能, 過去の転倒歴, 既往疾患の有無（脳血管疾患、パーキンソン病など）</t>
        </is>
      </c>
      <c r="AF49" s="3" t="inlineStr">
        <is>
          <t>決まっていない</t>
        </is>
      </c>
      <c r="AH49" s="3" t="inlineStr">
        <is>
          <t>ケースによる</t>
        </is>
      </c>
      <c r="AI49" s="3" t="inlineStr">
        <is>
          <t>下肢筋力強化, バランス練習, 歩行練習, 歩容改善, 起立、着座動作練習, 環境調整, 補助具、装具の適正化</t>
        </is>
      </c>
    </row>
    <row r="50" ht="22.5" customHeight="1">
      <c r="A50" s="32" t="n">
        <v>46086.76688695602</v>
      </c>
      <c r="B50" s="3" t="inlineStr">
        <is>
          <t>伊藤　佳歩</t>
        </is>
      </c>
      <c r="C50" s="3" t="inlineStr">
        <is>
          <t>医療法人法美宝　総合青山病院</t>
        </is>
      </c>
      <c r="D50" s="3" t="inlineStr">
        <is>
          <t>愛知県</t>
        </is>
      </c>
      <c r="E50" s="3" t="inlineStr">
        <is>
          <t>r1682702@sc.sozo.ac.jp</t>
        </is>
      </c>
      <c r="F50" s="3" t="inlineStr">
        <is>
          <t>リハビリテーション技術室/理学療法士</t>
        </is>
      </c>
      <c r="G50" s="3" t="n">
        <v>20</v>
      </c>
      <c r="H50" s="3" t="n">
        <v>16</v>
      </c>
      <c r="I50" s="3" t="n">
        <v>6</v>
      </c>
      <c r="J50" s="3" t="inlineStr">
        <is>
          <t>現在、算定している</t>
        </is>
      </c>
      <c r="K50" s="3" t="inlineStr">
        <is>
          <t>関節可動域運動, 筋力増強運動, DVT予防, ポジショニング, 自主運動指導, 術後リハビリテーションのオリエンテーション, 離床（例：車椅子移乗,立位,歩行など）</t>
        </is>
      </c>
      <c r="L50" s="3" t="inlineStr">
        <is>
          <t>全症例の0％〜24％程度</t>
        </is>
      </c>
      <c r="N50" s="3" t="inlineStr">
        <is>
          <t>全症例の25％〜49％程度</t>
        </is>
      </c>
      <c r="P50" s="3" t="inlineStr">
        <is>
          <t>全症例の50％〜74％程度</t>
        </is>
      </c>
      <c r="Q50" s="3" t="inlineStr">
        <is>
          <t>廃用予防、DVT予防</t>
        </is>
      </c>
      <c r="R50" s="3" t="inlineStr">
        <is>
          <t>全症例の0％〜24％程度</t>
        </is>
      </c>
      <c r="T50" s="3" t="inlineStr">
        <is>
          <t>下腿周径</t>
        </is>
      </c>
      <c r="V50" s="3" t="inlineStr">
        <is>
          <t>実施していない</t>
        </is>
      </c>
      <c r="W50" s="3" t="inlineStr">
        <is>
          <t>評価→リハビリの体制が構築されていない
個々のリハビリに委ねられている</t>
        </is>
      </c>
      <c r="X50" s="3" t="inlineStr">
        <is>
          <t>実施していない</t>
        </is>
      </c>
      <c r="Y50" s="3" t="inlineStr">
        <is>
          <t>評価→リハビリの体制が構築されていない
個々のリハビリに委ねられている</t>
        </is>
      </c>
      <c r="Z50" s="3" t="inlineStr">
        <is>
          <t>Barthel Index（BI）, FIM</t>
        </is>
      </c>
      <c r="AB50" s="3" t="inlineStr">
        <is>
          <t>MMSE, HDS-R</t>
        </is>
      </c>
      <c r="AD50" s="3" t="inlineStr">
        <is>
          <t>5回椅子立ち上がりテスト, 認知機能, 転倒恐怖感, 過去の転倒歴, 既往疾患の有無（脳血管疾患、パーキンソン病など）</t>
        </is>
      </c>
      <c r="AF50" s="3" t="inlineStr">
        <is>
          <t>わからない</t>
        </is>
      </c>
      <c r="AI50" s="3" t="inlineStr">
        <is>
          <t>下肢筋力強化, バランス練習, 歩行練習, 歩容改善, 起立、着座動作練習, 環境調整, 補助具、装具の適正化, 行動面への介入, 薬剤調整, 教育、指導</t>
        </is>
      </c>
    </row>
    <row r="51" ht="22.5" customHeight="1">
      <c r="A51" s="32" t="n">
        <v>46086.78863920139</v>
      </c>
      <c r="B51" s="3" t="inlineStr">
        <is>
          <t>水野理惠</t>
        </is>
      </c>
      <c r="C51" s="3" t="inlineStr">
        <is>
          <t>横浜市立みなと赤十字病院</t>
        </is>
      </c>
      <c r="D51" s="3" t="inlineStr">
        <is>
          <t>神奈川県</t>
        </is>
      </c>
      <c r="E51" s="3" t="inlineStr">
        <is>
          <t>r-mizuno.pj@yokohama.jrc.or.jp</t>
        </is>
      </c>
      <c r="F51" s="3" t="inlineStr">
        <is>
          <t>リハビリテーション科　理学療法士</t>
        </is>
      </c>
      <c r="G51" s="3" t="n">
        <v>175</v>
      </c>
      <c r="H51" s="3" t="n">
        <v>21</v>
      </c>
      <c r="I51" s="3" t="n">
        <v>10</v>
      </c>
      <c r="J51" s="3" t="inlineStr">
        <is>
          <t>届け出はしていないが、現在検討中である</t>
        </is>
      </c>
      <c r="K51" s="3" t="inlineStr">
        <is>
          <t>関節可動域運動, 筋力増強運動, DVT予防, ポジショニング, 自主運動指導, 術後リハビリテーションのオリエンテーション</t>
        </is>
      </c>
      <c r="L51" s="3" t="inlineStr">
        <is>
          <t>全症例の75％〜100％程度</t>
        </is>
      </c>
      <c r="M51" s="3" t="inlineStr">
        <is>
          <t>全身状態を確認の上、安静度の制限がない限り手術翌日離床を予定や目標にしているため。</t>
        </is>
      </c>
      <c r="N51" s="3" t="inlineStr">
        <is>
          <t>全症例の0％〜24％程度</t>
        </is>
      </c>
      <c r="P51" s="3" t="inlineStr">
        <is>
          <t>全症例の0％〜24％程度</t>
        </is>
      </c>
      <c r="R51" s="3" t="inlineStr">
        <is>
          <t>全症例の0％〜24％程度</t>
        </is>
      </c>
      <c r="T51" s="3" t="inlineStr">
        <is>
          <t>握力</t>
        </is>
      </c>
      <c r="V51" s="3" t="inlineStr">
        <is>
          <t>握力</t>
        </is>
      </c>
      <c r="X51" s="3" t="inlineStr">
        <is>
          <t>実施していない</t>
        </is>
      </c>
      <c r="Y51" s="3" t="inlineStr">
        <is>
          <t>術後10日前後で転院となるため、機能的に困難なケースが多いため。</t>
        </is>
      </c>
      <c r="Z51" s="3" t="inlineStr">
        <is>
          <t>Barthel Index（BI）</t>
        </is>
      </c>
      <c r="AB51" s="3" t="inlineStr">
        <is>
          <t>MMSE, AMTS</t>
        </is>
      </c>
      <c r="AD51" s="3" t="inlineStr">
        <is>
          <t>認知機能</t>
        </is>
      </c>
      <c r="AF51" s="3" t="inlineStr">
        <is>
          <t>決まっている</t>
        </is>
      </c>
      <c r="AG51" s="3" t="inlineStr">
        <is>
          <t>術後10日</t>
        </is>
      </c>
      <c r="AI51" s="3" t="inlineStr">
        <is>
          <t>下肢筋力強化, バランス練習, 歩行練習, 起立、着座動作練習, 補助具、装具の適正化</t>
        </is>
      </c>
    </row>
    <row r="52" ht="22.5" customHeight="1">
      <c r="A52" s="32" t="n">
        <v>46087.30131903935</v>
      </c>
      <c r="B52" s="3" t="inlineStr">
        <is>
          <t>和田　真明</t>
        </is>
      </c>
      <c r="C52" s="3" t="inlineStr">
        <is>
          <t>三田市民病院</t>
        </is>
      </c>
      <c r="D52" s="3" t="inlineStr">
        <is>
          <t>兵庫県</t>
        </is>
      </c>
      <c r="E52" s="3" t="inlineStr">
        <is>
          <t>wdmsk214@gmail.com</t>
        </is>
      </c>
      <c r="F52" s="3" t="inlineStr">
        <is>
          <t>リハビリテーション科／理学療法士</t>
        </is>
      </c>
      <c r="G52" s="3" t="n">
        <v>205</v>
      </c>
      <c r="H52" s="3" t="n">
        <v>12</v>
      </c>
      <c r="I52" s="3" t="n">
        <v>5</v>
      </c>
      <c r="J52" s="3" t="inlineStr">
        <is>
          <t>届け出はしていないが、現在検討中である</t>
        </is>
      </c>
      <c r="K52" s="3" t="inlineStr">
        <is>
          <t>関節可動域運動, 筋力増強運動, 呼吸リハビリテーション, リラクセーション, 術後リハビリテーションのオリエンテーション</t>
        </is>
      </c>
      <c r="L52" s="3" t="inlineStr">
        <is>
          <t>全症例の50％〜74％程度</t>
        </is>
      </c>
      <c r="M52" s="3" t="inlineStr">
        <is>
          <t>リラクゼーションやポジショニング、服薬コントロールなどを実施しています</t>
        </is>
      </c>
      <c r="N52" s="3" t="inlineStr">
        <is>
          <t>全症例の0％〜24％程度</t>
        </is>
      </c>
      <c r="P52" s="3" t="inlineStr">
        <is>
          <t>全症例の0％〜24％程度</t>
        </is>
      </c>
      <c r="R52" s="3" t="inlineStr">
        <is>
          <t>全症例の0％〜24％程度</t>
        </is>
      </c>
      <c r="T52" s="3" t="inlineStr">
        <is>
          <t>握力, 5回椅子立ち上がりテスト, 歩行速度, SPPB, 下腿周径</t>
        </is>
      </c>
      <c r="V52" s="3" t="inlineStr">
        <is>
          <t>握力</t>
        </is>
      </c>
      <c r="X52" s="3" t="inlineStr">
        <is>
          <t>実施していない</t>
        </is>
      </c>
      <c r="Y52" s="3" t="inlineStr">
        <is>
          <t>サルコペニア　フレイル評価をしているため</t>
        </is>
      </c>
      <c r="Z52" s="3" t="inlineStr">
        <is>
          <t>Barthel Index（BI）</t>
        </is>
      </c>
      <c r="AB52" s="3" t="inlineStr">
        <is>
          <t>MMSE</t>
        </is>
      </c>
      <c r="AD52" s="3" t="inlineStr">
        <is>
          <t>5回椅子立ち上がりテスト, 転倒リスク評価表（厚生労働省）</t>
        </is>
      </c>
      <c r="AF52" s="3" t="inlineStr">
        <is>
          <t>決まっている</t>
        </is>
      </c>
      <c r="AG52" s="3" t="inlineStr">
        <is>
          <t>退院前日</t>
        </is>
      </c>
      <c r="AI52" s="3" t="inlineStr">
        <is>
          <t>下肢筋力強化, バランス練習, 歩行練習, 歩容改善, 起立、着座動作練習, 環境調整, 補助具、装具の適正化, 認知面への介入, 教育、指導</t>
        </is>
      </c>
    </row>
    <row r="53" ht="22.5" customHeight="1">
      <c r="A53" s="32" t="n">
        <v>46087.39023673611</v>
      </c>
      <c r="B53" s="3" t="inlineStr">
        <is>
          <t>阿部寛子</t>
        </is>
      </c>
      <c r="C53" s="3" t="inlineStr">
        <is>
          <t>大館市立総合病院</t>
        </is>
      </c>
      <c r="D53" s="3" t="inlineStr">
        <is>
          <t>秋田県</t>
        </is>
      </c>
      <c r="E53" s="3" t="inlineStr">
        <is>
          <t>hirori09073234721@gmail.com</t>
        </is>
      </c>
      <c r="F53" s="3" t="inlineStr">
        <is>
          <t>リハビリテーション科/理学療法士</t>
        </is>
      </c>
      <c r="G53" s="3" t="n">
        <v>97</v>
      </c>
      <c r="H53" s="3" t="n">
        <v>12</v>
      </c>
      <c r="I53" s="3" t="n">
        <v>2</v>
      </c>
      <c r="J53" s="3" t="inlineStr">
        <is>
          <t>届け出をしておらず、検討もしていない</t>
        </is>
      </c>
      <c r="K53" s="3" t="inlineStr">
        <is>
          <t>筋力増強運動, 認知評価</t>
        </is>
      </c>
      <c r="L53" s="3" t="inlineStr">
        <is>
          <t>全症例の50％〜74％程度</t>
        </is>
      </c>
      <c r="M53" s="3" t="inlineStr">
        <is>
          <t>疼痛コントロール</t>
        </is>
      </c>
      <c r="N53" s="3" t="inlineStr">
        <is>
          <t>全症例の25％〜49％程度</t>
        </is>
      </c>
      <c r="P53" s="3" t="inlineStr">
        <is>
          <t>全症例の0％〜24％程度</t>
        </is>
      </c>
      <c r="R53" s="3" t="inlineStr">
        <is>
          <t>全症例の0％〜24％程度</t>
        </is>
      </c>
      <c r="T53" s="3" t="inlineStr">
        <is>
          <t>握力, 5回椅子立ち上がりテスト, 歩行速度, SPPB</t>
        </is>
      </c>
      <c r="V53" s="3" t="inlineStr">
        <is>
          <t>握力</t>
        </is>
      </c>
      <c r="X53" s="3" t="inlineStr">
        <is>
          <t>立ち上がりテスト, 2ステップテスト</t>
        </is>
      </c>
      <c r="Z53" s="3" t="inlineStr">
        <is>
          <t>Barthel Index（BI）</t>
        </is>
      </c>
      <c r="AB53" s="3" t="inlineStr">
        <is>
          <t>AMTS</t>
        </is>
      </c>
      <c r="AD53" s="3" t="inlineStr">
        <is>
          <t>SPPB、Functional Reach Test（FRT）, 5回椅子立ち上がりテスト, 転倒恐怖感</t>
        </is>
      </c>
      <c r="AF53" s="3" t="inlineStr">
        <is>
          <t>決まっている</t>
        </is>
      </c>
      <c r="AG53" s="3" t="inlineStr">
        <is>
          <t>30日、120日、180日、365日</t>
        </is>
      </c>
      <c r="AI53" s="3" t="inlineStr">
        <is>
          <t>下肢筋力強化, バランス練習, 歩行練習, 補助具、装具の適正化, 教育、指導</t>
        </is>
      </c>
    </row>
    <row r="54" ht="22.5" customHeight="1">
      <c r="A54" s="32" t="n">
        <v>46087.53489275463</v>
      </c>
      <c r="B54" s="3" t="inlineStr">
        <is>
          <t>加藤　望</t>
        </is>
      </c>
      <c r="C54" s="3" t="inlineStr">
        <is>
          <t>青森労災病院</t>
        </is>
      </c>
      <c r="D54" s="3" t="inlineStr">
        <is>
          <t>青森県</t>
        </is>
      </c>
      <c r="E54" s="3" t="inlineStr">
        <is>
          <t>rihaka@aomorih.johas.go.jp</t>
        </is>
      </c>
      <c r="G54" s="3" t="n">
        <v>55</v>
      </c>
      <c r="H54" s="3" t="n">
        <v>14</v>
      </c>
      <c r="I54" s="3" t="n">
        <v>0</v>
      </c>
      <c r="J54" s="3" t="inlineStr">
        <is>
          <t>届け出をしておらず、検討もしていない</t>
        </is>
      </c>
      <c r="K54" s="3" t="inlineStr">
        <is>
          <t>関節可動域運動, 筋力増強運動, DVT予防, リラクセーション, ポジショニング, 自主運動指導, 術後リハビリテーションのオリエンテーション</t>
        </is>
      </c>
      <c r="L54" s="3" t="inlineStr">
        <is>
          <t>全症例の50％〜74％程度</t>
        </is>
      </c>
      <c r="N54" s="3" t="inlineStr">
        <is>
          <t>全症例の50％〜74％程度</t>
        </is>
      </c>
      <c r="P54" s="3" t="inlineStr">
        <is>
          <t>全症例の0％〜24％程度</t>
        </is>
      </c>
      <c r="R54" s="3" t="inlineStr">
        <is>
          <t>全症例の0％〜24％程度</t>
        </is>
      </c>
      <c r="T54" s="3" t="inlineStr">
        <is>
          <t>膝伸展筋力, TUG, 下腿周径</t>
        </is>
      </c>
      <c r="V54" s="3" t="inlineStr">
        <is>
          <t>実施していない</t>
        </is>
      </c>
      <c r="X54" s="3" t="inlineStr">
        <is>
          <t>実施していない</t>
        </is>
      </c>
      <c r="Z54" s="3" t="inlineStr">
        <is>
          <t>FIM</t>
        </is>
      </c>
      <c r="AB54" s="3" t="inlineStr">
        <is>
          <t>実施していない</t>
        </is>
      </c>
      <c r="AC54" s="3" t="inlineStr">
        <is>
          <t>臨床心理士が実施しているため</t>
        </is>
      </c>
      <c r="AD54" s="3" t="inlineStr">
        <is>
          <t>実施していない</t>
        </is>
      </c>
      <c r="AI54" s="3" t="inlineStr">
        <is>
          <t>下肢筋力強化, バランス練習, 歩行練習, 歩容改善, 起立、着座動作練習, 環境調整, 補助具、装具の適正化, 認知面への介入, 行動面への介入, 教育、指導</t>
        </is>
      </c>
    </row>
    <row r="55" ht="22.5" customHeight="1">
      <c r="A55" s="32" t="n">
        <v>46087.58701421296</v>
      </c>
      <c r="B55" s="3" t="inlineStr">
        <is>
          <t>後藤田　晶</t>
        </is>
      </c>
      <c r="C55" s="3" t="inlineStr">
        <is>
          <t>吉野川医療センター</t>
        </is>
      </c>
      <c r="D55" s="3" t="inlineStr">
        <is>
          <t>徳島県</t>
        </is>
      </c>
      <c r="E55" s="3" t="inlineStr">
        <is>
          <t>seikeiope@ja-ymc.jp</t>
        </is>
      </c>
      <c r="F55" s="3" t="inlineStr">
        <is>
          <t>リハビリテーション科/理学療法士</t>
        </is>
      </c>
      <c r="G55" s="3" t="n">
        <v>289</v>
      </c>
      <c r="H55" s="3" t="n">
        <v>10</v>
      </c>
      <c r="I55" s="3" t="n">
        <v>4</v>
      </c>
      <c r="J55" s="3" t="inlineStr">
        <is>
          <t>届け出はしていないが、現在検討中である</t>
        </is>
      </c>
      <c r="K55" s="3" t="inlineStr">
        <is>
          <t>関節可動域運動, 筋力増強運動, DVT予防, リラクセーション, ポジショニング, 自主運動指導, 術後リハビリテーションのオリエンテーション</t>
        </is>
      </c>
      <c r="L55" s="3" t="inlineStr">
        <is>
          <t>全症例の0％〜24％程度</t>
        </is>
      </c>
      <c r="N55" s="3" t="inlineStr">
        <is>
          <t>全症例の0％〜24％程度</t>
        </is>
      </c>
      <c r="P55" s="3" t="inlineStr">
        <is>
          <t>全症例の0％〜24％程度</t>
        </is>
      </c>
      <c r="R55" s="3" t="inlineStr">
        <is>
          <t>全症例の0％〜24％程度</t>
        </is>
      </c>
      <c r="T55" s="3" t="inlineStr">
        <is>
          <t>開眼片脚立位時間, 下腿周径</t>
        </is>
      </c>
      <c r="V55" s="3" t="inlineStr">
        <is>
          <t>認知機能</t>
        </is>
      </c>
      <c r="X55" s="3" t="inlineStr">
        <is>
          <t>立ち上がりテスト</t>
        </is>
      </c>
      <c r="Z55" s="3" t="inlineStr">
        <is>
          <t>Barthel Index（BI）, FIM</t>
        </is>
      </c>
      <c r="AB55" s="3" t="inlineStr">
        <is>
          <t>HDS-R</t>
        </is>
      </c>
      <c r="AD55" s="3" t="inlineStr">
        <is>
          <t>定量的な下肢筋力測定, 10m歩行速度</t>
        </is>
      </c>
      <c r="AF55" s="3" t="inlineStr">
        <is>
          <t>決まっている</t>
        </is>
      </c>
      <c r="AG55" s="3" t="inlineStr">
        <is>
          <t>術後14日目</t>
        </is>
      </c>
      <c r="AI55" s="3" t="inlineStr">
        <is>
          <t>下肢筋力強化, バランス練習, 歩行練習, 歩容改善, 認知面への介入, 行動面への介入, 教育、指導</t>
        </is>
      </c>
    </row>
    <row r="56" ht="22.5" customHeight="1">
      <c r="A56" s="32" t="n">
        <v>46087.77507324074</v>
      </c>
      <c r="B56" s="3" t="inlineStr">
        <is>
          <t>守屋大輔</t>
        </is>
      </c>
      <c r="C56" s="3" t="inlineStr">
        <is>
          <t>佐野厚生総合病院</t>
        </is>
      </c>
      <c r="D56" s="3" t="inlineStr">
        <is>
          <t>栃木県</t>
        </is>
      </c>
      <c r="E56" s="3" t="inlineStr">
        <is>
          <t>reha@jasanoko.or.jp</t>
        </is>
      </c>
      <c r="F56" s="3" t="inlineStr">
        <is>
          <t>リハビリテーション科／理学療法士</t>
        </is>
      </c>
      <c r="G56" s="3" t="n">
        <v>167</v>
      </c>
      <c r="H56" s="3" t="n">
        <v>5</v>
      </c>
      <c r="I56" s="3" t="n">
        <v>0</v>
      </c>
      <c r="J56" s="3" t="inlineStr">
        <is>
          <t>届け出はしていないが、現在検討中である</t>
        </is>
      </c>
      <c r="K56" s="3" t="inlineStr">
        <is>
          <t>関節可動域運動, 筋力増強運動, DVT予防, リラクセーション, ポジショニング, 自主運動指導, 術後リハビリテーションのオリエンテーション</t>
        </is>
      </c>
      <c r="L56" s="3" t="inlineStr">
        <is>
          <t>全症例の0％〜24％程度</t>
        </is>
      </c>
      <c r="N56" s="3" t="inlineStr">
        <is>
          <t>全症例の0％〜24％程度</t>
        </is>
      </c>
      <c r="P56" s="3" t="inlineStr">
        <is>
          <t>全症例の0％〜24％程度</t>
        </is>
      </c>
      <c r="R56" s="3" t="inlineStr">
        <is>
          <t>全症例の0％〜24％程度</t>
        </is>
      </c>
      <c r="T56" s="3" t="inlineStr">
        <is>
          <t>握力, 開眼片脚立位時間, 骨格筋量指数（SMI）, 下腿周径</t>
        </is>
      </c>
      <c r="V56" s="3" t="inlineStr">
        <is>
          <t>認知機能, 握力</t>
        </is>
      </c>
      <c r="X56" s="3" t="inlineStr">
        <is>
          <t>立ち上がりテスト, 2ステップテスト</t>
        </is>
      </c>
      <c r="Z56" s="3" t="inlineStr">
        <is>
          <t>FIM</t>
        </is>
      </c>
      <c r="AB56" s="3" t="inlineStr">
        <is>
          <t>HDS-R</t>
        </is>
      </c>
      <c r="AD56" s="3" t="inlineStr">
        <is>
          <t>開眼片脚立位時間, 認知機能</t>
        </is>
      </c>
      <c r="AF56" s="3" t="inlineStr">
        <is>
          <t>決まっていない</t>
        </is>
      </c>
      <c r="AH56" s="3" t="inlineStr">
        <is>
          <t>術後2週間以内にとしており、疼痛など患者によりかなり違いがあるため、何日目とはしていないではばをもたせている</t>
        </is>
      </c>
      <c r="AI56" s="3" t="inlineStr">
        <is>
          <t>下肢筋力強化, バランス練習, 歩行練習, 歩容改善, 起立、着座動作練習, 環境調整, 補助具、装具の適正化, 認知面への介入, 行動面への介入, 薬剤調整, 教育、指導</t>
        </is>
      </c>
    </row>
    <row r="57" ht="22.5" customHeight="1">
      <c r="A57" s="32" t="n">
        <v>46087.77836141203</v>
      </c>
      <c r="B57" s="3" t="inlineStr">
        <is>
          <t>山口　和久</t>
        </is>
      </c>
      <c r="C57" s="3" t="inlineStr">
        <is>
          <t>国家公務員共済組合連合会　横浜栄共済病院</t>
        </is>
      </c>
      <c r="D57" s="3" t="inlineStr">
        <is>
          <t>神奈川県</t>
        </is>
      </c>
      <c r="E57" s="3" t="inlineStr">
        <is>
          <t>r4-retion@yokohamasakae.jp</t>
        </is>
      </c>
      <c r="F57" s="3" t="inlineStr">
        <is>
          <t>リハビリテーション科／理学療法士</t>
        </is>
      </c>
      <c r="G57" s="3" t="n">
        <v>180</v>
      </c>
      <c r="H57" s="3" t="n">
        <v>12</v>
      </c>
      <c r="I57" s="3" t="n">
        <v>0</v>
      </c>
      <c r="J57" s="3" t="inlineStr">
        <is>
          <t>届け出をしておらず、検討もしていない</t>
        </is>
      </c>
      <c r="K57" s="3" t="inlineStr">
        <is>
          <t>関節可動域運動, 筋力増強運動, DVT予防, ポジショニング, 自主運動指導, 術後リハビリテーションのオリエンテーション</t>
        </is>
      </c>
      <c r="L57" s="3" t="inlineStr">
        <is>
          <t>全症例の25％〜49％程度</t>
        </is>
      </c>
      <c r="N57" s="3" t="inlineStr">
        <is>
          <t>全症例の0％〜24％程度</t>
        </is>
      </c>
      <c r="P57" s="3" t="inlineStr">
        <is>
          <t>全症例の0％〜24％程度</t>
        </is>
      </c>
      <c r="R57" s="3" t="inlineStr">
        <is>
          <t>全症例の0％〜24％程度</t>
        </is>
      </c>
      <c r="T57" s="3" t="inlineStr">
        <is>
          <t>握力, 膝伸展筋力</t>
        </is>
      </c>
      <c r="V57" s="3" t="inlineStr">
        <is>
          <t>握力</t>
        </is>
      </c>
      <c r="X57" s="3" t="inlineStr">
        <is>
          <t>実施していない</t>
        </is>
      </c>
      <c r="Y57" s="3" t="inlineStr">
        <is>
          <t>ロコモ評価は、急性期術後の患者（約２週間程度の入院期間）で実施するには内容が難しい</t>
        </is>
      </c>
      <c r="Z57" s="3" t="inlineStr">
        <is>
          <t>Barthel Index（BI）</t>
        </is>
      </c>
      <c r="AB57" s="3" t="inlineStr">
        <is>
          <t>実施していない</t>
        </is>
      </c>
      <c r="AC57" s="3" t="inlineStr">
        <is>
          <t>業務分担しており、当院では臨床心理師がAMTSの評価を担当している</t>
        </is>
      </c>
      <c r="AD57" s="3" t="inlineStr">
        <is>
          <t>定量的な下肢筋力測定, 深部感覚評価, 認知機能, 転倒恐怖感, 既往疾患の有無（脳血管疾患、パーキンソン病など）</t>
        </is>
      </c>
      <c r="AF57" s="3" t="inlineStr">
        <is>
          <t>決まっていない</t>
        </is>
      </c>
      <c r="AH57" s="3" t="inlineStr">
        <is>
          <t>決まっていない理由は特にありません。特別事前にルールも設けてはいません。
ただし、全ての評価を同日日に実施する事が時間的に制約を受けることはあります。</t>
        </is>
      </c>
      <c r="AI57" s="3" t="inlineStr">
        <is>
          <t>下肢筋力強化, 歩行練習, 歩容改善, 起立、着座動作練習, 補助具、装具の適正化, 教育、指導</t>
        </is>
      </c>
    </row>
    <row r="58" ht="22.5" customHeight="1">
      <c r="A58" s="32" t="n">
        <v>46087.79874030092</v>
      </c>
      <c r="B58" s="3" t="inlineStr">
        <is>
          <t>稲垣忍</t>
        </is>
      </c>
      <c r="C58" s="3" t="inlineStr">
        <is>
          <t xml:space="preserve">桑名市総合医療センター　</t>
        </is>
      </c>
      <c r="D58" s="3" t="inlineStr">
        <is>
          <t>三重県</t>
        </is>
      </c>
      <c r="E58" s="3" t="inlineStr">
        <is>
          <t>pt.inaketsu@gmail.com</t>
        </is>
      </c>
      <c r="F58" s="3" t="inlineStr">
        <is>
          <t>リハビリテーション室　理学療法士</t>
        </is>
      </c>
      <c r="G58" s="3" t="n">
        <v>126</v>
      </c>
      <c r="H58" s="3" t="n">
        <v>1</v>
      </c>
      <c r="I58" s="3" t="n">
        <v>1</v>
      </c>
      <c r="J58" s="3" t="inlineStr">
        <is>
          <t>届け出をしておらず、検討もしていない</t>
        </is>
      </c>
      <c r="K58" s="3" t="inlineStr">
        <is>
          <t>実施していない</t>
        </is>
      </c>
      <c r="L58" s="3" t="inlineStr">
        <is>
          <t>全症例の50％〜74％程度</t>
        </is>
      </c>
      <c r="N58" s="3" t="inlineStr">
        <is>
          <t>全症例の0％〜24％程度</t>
        </is>
      </c>
      <c r="P58" s="3" t="inlineStr">
        <is>
          <t>全症例の0％〜24％程度</t>
        </is>
      </c>
      <c r="R58" s="3" t="inlineStr">
        <is>
          <t>全症例の0％〜24％程度</t>
        </is>
      </c>
      <c r="T58" s="3" t="inlineStr">
        <is>
          <t>実施していない</t>
        </is>
      </c>
      <c r="V58" s="3" t="inlineStr">
        <is>
          <t>実施していない</t>
        </is>
      </c>
      <c r="X58" s="3" t="inlineStr">
        <is>
          <t>実施していない</t>
        </is>
      </c>
      <c r="Z58" s="3" t="inlineStr">
        <is>
          <t>FIM</t>
        </is>
      </c>
      <c r="AB58" s="3" t="inlineStr">
        <is>
          <t>MMSE, HDS-R</t>
        </is>
      </c>
      <c r="AD58" s="3" t="inlineStr">
        <is>
          <t>実施していない</t>
        </is>
      </c>
      <c r="AI58" s="3" t="inlineStr">
        <is>
          <t>下肢筋力強化, バランス練習, 歩行練習, 歩容改善, 起立、着座動作練習, 環境調整, 補助具、装具の適正化</t>
        </is>
      </c>
    </row>
    <row r="59" ht="22.5" customHeight="1">
      <c r="A59" s="32" t="n">
        <v>46087.81656150463</v>
      </c>
      <c r="B59" s="3" t="inlineStr">
        <is>
          <t>口石智秀</t>
        </is>
      </c>
      <c r="C59" s="3" t="inlineStr">
        <is>
          <t>国立病院機構熊本再春医療センター</t>
        </is>
      </c>
      <c r="D59" s="3" t="inlineStr">
        <is>
          <t>熊本県</t>
        </is>
      </c>
      <c r="E59" s="3" t="inlineStr">
        <is>
          <t>kuchiishi.tomohide.ct@mail.hosp.go.jp</t>
        </is>
      </c>
      <c r="F59" s="3" t="inlineStr">
        <is>
          <t>リハビリテーション科/理学療法士</t>
        </is>
      </c>
      <c r="G59" s="3" t="n">
        <v>90</v>
      </c>
      <c r="H59" s="3" t="n">
        <v>11</v>
      </c>
      <c r="I59" s="3" t="n">
        <v>0</v>
      </c>
      <c r="J59" s="3" t="inlineStr">
        <is>
          <t>届け出をしておらず、検討もしていない</t>
        </is>
      </c>
      <c r="K59" s="3" t="inlineStr">
        <is>
          <t>筋力増強運動, 術後リハビリテーションのオリエンテーション</t>
        </is>
      </c>
      <c r="L59" s="3" t="inlineStr">
        <is>
          <t>全症例の0％〜24％程度</t>
        </is>
      </c>
      <c r="N59" s="3" t="inlineStr">
        <is>
          <t>全症例の0％〜24％程度</t>
        </is>
      </c>
      <c r="P59" s="3" t="inlineStr">
        <is>
          <t>全症例の0％〜24％程度</t>
        </is>
      </c>
      <c r="R59" s="3" t="inlineStr">
        <is>
          <t>全症例の0％〜24％程度</t>
        </is>
      </c>
      <c r="T59" s="3" t="inlineStr">
        <is>
          <t>握力, 膝伸展筋力, 歩行速度, TUG, 開眼片脚立位時間</t>
        </is>
      </c>
      <c r="V59" s="3" t="inlineStr">
        <is>
          <t>TUG, 握力</t>
        </is>
      </c>
      <c r="X59" s="3" t="inlineStr">
        <is>
          <t>実施していない</t>
        </is>
      </c>
      <c r="Z59" s="3" t="inlineStr">
        <is>
          <t>Barthel Index（BI）, FIM</t>
        </is>
      </c>
      <c r="AB59" s="3" t="inlineStr">
        <is>
          <t>MMSE, HDS-R, MoCA</t>
        </is>
      </c>
      <c r="AD59" s="3" t="inlineStr">
        <is>
          <t>10m歩行速度</t>
        </is>
      </c>
      <c r="AF59" s="3" t="inlineStr">
        <is>
          <t>決まっていない</t>
        </is>
      </c>
      <c r="AI59" s="3" t="inlineStr">
        <is>
          <t>下肢筋力強化, バランス練習, 歩行練習, 起立、着座動作練習, 環境調整, 補助具、装具の適正化, 教育、指導</t>
        </is>
      </c>
    </row>
    <row r="60" ht="22.5" customHeight="1">
      <c r="A60" s="32" t="n">
        <v>46087.86737604166</v>
      </c>
      <c r="B60" s="3" t="inlineStr">
        <is>
          <t>尾崎　泰</t>
        </is>
      </c>
      <c r="C60" s="3" t="inlineStr">
        <is>
          <t>大阪府済生会中津病院</t>
        </is>
      </c>
      <c r="D60" s="3" t="inlineStr">
        <is>
          <t>大阪府</t>
        </is>
      </c>
      <c r="E60" s="3" t="inlineStr">
        <is>
          <t>y_ozaki@nakatsu.saiseikai.or.jp</t>
        </is>
      </c>
      <c r="F60" s="3" t="inlineStr">
        <is>
          <t>リハビリテーション技術部/理学療法士</t>
        </is>
      </c>
      <c r="G60" s="3" t="n">
        <v>104</v>
      </c>
      <c r="H60" s="3" t="n">
        <v>14</v>
      </c>
      <c r="I60" s="3" t="n">
        <v>3</v>
      </c>
      <c r="J60" s="3" t="inlineStr">
        <is>
          <t>現在、算定している</t>
        </is>
      </c>
      <c r="K60" s="3" t="inlineStr">
        <is>
          <t>実施していない</t>
        </is>
      </c>
      <c r="L60" s="3" t="inlineStr">
        <is>
          <t>全症例の0％〜24％程度</t>
        </is>
      </c>
      <c r="N60" s="3" t="inlineStr">
        <is>
          <t>全症例の25％〜49％程度</t>
        </is>
      </c>
      <c r="P60" s="3" t="inlineStr">
        <is>
          <t>全症例の0％〜24％程度</t>
        </is>
      </c>
      <c r="R60" s="3" t="inlineStr">
        <is>
          <t>全症例の0％〜24％程度</t>
        </is>
      </c>
      <c r="T60" s="3" t="inlineStr">
        <is>
          <t>握力, 5回椅子立ち上がりテスト</t>
        </is>
      </c>
      <c r="V60" s="3" t="inlineStr">
        <is>
          <t>握力</t>
        </is>
      </c>
      <c r="X60" s="3" t="inlineStr">
        <is>
          <t>立ち上がりテスト, 2ステップテスト</t>
        </is>
      </c>
      <c r="Z60" s="3" t="inlineStr">
        <is>
          <t>Barthel Index（BI）</t>
        </is>
      </c>
      <c r="AB60" s="3" t="inlineStr">
        <is>
          <t>HDS-R</t>
        </is>
      </c>
      <c r="AD60" s="3" t="inlineStr">
        <is>
          <t>実施していない</t>
        </is>
      </c>
      <c r="AE60" s="3" t="inlineStr">
        <is>
          <t>あえて、決まった評価は実施していない。必要性に応じて個別で実施。</t>
        </is>
      </c>
      <c r="AI60" s="3" t="inlineStr">
        <is>
          <t>下肢筋力強化, バランス練習, 歩行練習, 環境調整, 教育、指導</t>
        </is>
      </c>
    </row>
    <row r="61" ht="22.5" customHeight="1">
      <c r="A61" s="32" t="n">
        <v>46087.96954336805</v>
      </c>
      <c r="B61" s="3" t="inlineStr">
        <is>
          <t>坂口知義</t>
        </is>
      </c>
      <c r="C61" s="3" t="inlineStr">
        <is>
          <t>岡山労災病院</t>
        </is>
      </c>
      <c r="D61" s="3" t="inlineStr">
        <is>
          <t>岡山県</t>
        </is>
      </c>
      <c r="E61" s="3" t="inlineStr">
        <is>
          <t>tomoyoshi0127@gmail.com</t>
        </is>
      </c>
      <c r="F61" s="3" t="inlineStr">
        <is>
          <t>中央リハビリテーション部／理学療法士</t>
        </is>
      </c>
      <c r="G61" s="3" t="n">
        <v>20</v>
      </c>
      <c r="H61" s="3" t="n">
        <v>14</v>
      </c>
      <c r="I61" s="3" t="n">
        <v>3</v>
      </c>
      <c r="J61" s="3" t="inlineStr">
        <is>
          <t>届け出はしていないが、現在検討中である</t>
        </is>
      </c>
      <c r="K61" s="3" t="inlineStr">
        <is>
          <t>関節可動域運動, 筋力増強運動, 呼吸リハビリテーション, DVT予防, ポジショニング, 術後リハビリテーションのオリエンテーション</t>
        </is>
      </c>
      <c r="L61" s="3" t="inlineStr">
        <is>
          <t>全症例の50％〜74％程度</t>
        </is>
      </c>
      <c r="M61" s="3" t="inlineStr">
        <is>
          <t>痛みが落ち着けば二日目より歩けるので、翌日は端座位までで、急いで進めていないです。</t>
        </is>
      </c>
      <c r="N61" s="3" t="inlineStr">
        <is>
          <t>全症例の25％〜49％程度</t>
        </is>
      </c>
      <c r="P61" s="3" t="inlineStr">
        <is>
          <t>全症例の0％〜24％程度</t>
        </is>
      </c>
      <c r="R61" s="3" t="inlineStr">
        <is>
          <t>全症例の0％〜24％程度</t>
        </is>
      </c>
      <c r="T61" s="3" t="inlineStr">
        <is>
          <t>5回椅子立ち上がりテスト, 歩行速度, TUG, 開眼片脚立位時間</t>
        </is>
      </c>
      <c r="V61" s="3" t="inlineStr">
        <is>
          <t>TUG</t>
        </is>
      </c>
      <c r="X61" s="3" t="inlineStr">
        <is>
          <t>実施していない</t>
        </is>
      </c>
      <c r="Z61" s="3" t="inlineStr">
        <is>
          <t>Barthel Index（BI）, FIM</t>
        </is>
      </c>
      <c r="AB61" s="3" t="inlineStr">
        <is>
          <t>MMSE, HDS-R</t>
        </is>
      </c>
      <c r="AD61" s="3" t="inlineStr">
        <is>
          <t>開眼片脚立位時間, TUG, 10m歩行速度, 5回椅子立ち上がりテスト</t>
        </is>
      </c>
      <c r="AF61" s="3" t="inlineStr">
        <is>
          <t>決まっていない</t>
        </is>
      </c>
      <c r="AH61" s="3" t="inlineStr">
        <is>
          <t>病棟の安静度を決める際に評価するため、日にちは個人差があり決めてない。</t>
        </is>
      </c>
      <c r="AI61" s="3" t="inlineStr">
        <is>
          <t>下肢筋力強化, バランス練習, 歩行練習, 起立、着座動作練習</t>
        </is>
      </c>
    </row>
    <row r="62" ht="22.5" customHeight="1">
      <c r="A62" s="32" t="n">
        <v>46088.32868657407</v>
      </c>
      <c r="B62" s="3" t="inlineStr">
        <is>
          <t>吉川　祐樹</t>
        </is>
      </c>
      <c r="C62" s="3" t="inlineStr">
        <is>
          <t>北海道社会事業協会帯広病院</t>
        </is>
      </c>
      <c r="D62" s="3" t="inlineStr">
        <is>
          <t>北海道</t>
        </is>
      </c>
      <c r="E62" s="3" t="inlineStr">
        <is>
          <t>y-kichikawa@obihiro-kyokai-hsp.jp</t>
        </is>
      </c>
      <c r="F62" s="3" t="inlineStr">
        <is>
          <t>リハビリテーション科／理学療法士</t>
        </is>
      </c>
      <c r="G62" s="3" t="n">
        <v>49</v>
      </c>
      <c r="H62" s="3" t="n">
        <v>9</v>
      </c>
      <c r="I62" s="3" t="n">
        <v>3</v>
      </c>
      <c r="J62" s="3" t="inlineStr">
        <is>
          <t>届け出をしておらず、検討もしていない</t>
        </is>
      </c>
      <c r="K62" s="3" t="inlineStr">
        <is>
          <t>関節可動域運動, 筋力増強運動, 呼吸リハビリテーション, リラクセーション, ポジショニング, 術後リハビリテーションのオリエンテーション</t>
        </is>
      </c>
      <c r="L62" s="3" t="inlineStr">
        <is>
          <t>全症例の50％〜74％程度</t>
        </is>
      </c>
      <c r="M62" s="3" t="inlineStr">
        <is>
          <t>炎症、腫脹管理、リラクセーション、ポジショニング</t>
        </is>
      </c>
      <c r="N62" s="3" t="inlineStr">
        <is>
          <t>全症例の0％〜24％程度</t>
        </is>
      </c>
      <c r="P62" s="3" t="inlineStr">
        <is>
          <t>全症例の0％〜24％程度</t>
        </is>
      </c>
      <c r="R62" s="3" t="inlineStr">
        <is>
          <t>全症例の0％〜24％程度</t>
        </is>
      </c>
      <c r="T62" s="3" t="inlineStr">
        <is>
          <t>下腿周径</t>
        </is>
      </c>
      <c r="V62" s="3" t="inlineStr">
        <is>
          <t>実施していない</t>
        </is>
      </c>
      <c r="W62" s="3" t="inlineStr">
        <is>
          <t>フレイル目的で評価をしていないため。機能、能力判定に評価をしている。</t>
        </is>
      </c>
      <c r="X62" s="3" t="inlineStr">
        <is>
          <t>実施していない</t>
        </is>
      </c>
      <c r="Y62" s="3" t="inlineStr">
        <is>
          <t>ロコモティブシンドローム目的で評価していないため。</t>
        </is>
      </c>
      <c r="Z62" s="3" t="inlineStr">
        <is>
          <t>Barthel Index（BI）</t>
        </is>
      </c>
      <c r="AB62" s="3" t="inlineStr">
        <is>
          <t>MMSE, HDS-R</t>
        </is>
      </c>
      <c r="AD62" s="3" t="inlineStr">
        <is>
          <t>実施していない</t>
        </is>
      </c>
      <c r="AE62" s="3" t="inlineStr">
        <is>
          <t>FLS活動の一環として実施していないため。能力把握で評価はしている項目あり。</t>
        </is>
      </c>
      <c r="AI62" s="3" t="inlineStr">
        <is>
          <t>下肢筋力強化, バランス練習, 歩行練習, 歩容改善, 起立、着座動作練習, 環境調整, 補助具、装具の適正化, 認知面への介入, 教育、指導</t>
        </is>
      </c>
    </row>
    <row r="63" ht="22.5" customHeight="1">
      <c r="A63" s="32" t="n">
        <v>46088.54764357639</v>
      </c>
      <c r="B63" s="3" t="inlineStr">
        <is>
          <t>相原　徹也</t>
        </is>
      </c>
      <c r="C63" s="3" t="inlineStr">
        <is>
          <t>新座志木中央総合病院</t>
        </is>
      </c>
      <c r="D63" s="3" t="inlineStr">
        <is>
          <t>埼玉県</t>
        </is>
      </c>
      <c r="E63" s="3" t="inlineStr">
        <is>
          <t>t_kodaka@tmg.or.jp</t>
        </is>
      </c>
      <c r="F63" s="3" t="inlineStr">
        <is>
          <t>リハビリテーション科/理学療法士</t>
        </is>
      </c>
      <c r="G63" s="3" t="n">
        <v>269</v>
      </c>
      <c r="H63" s="3" t="n">
        <v>45</v>
      </c>
      <c r="I63" s="3" t="n">
        <v>0</v>
      </c>
      <c r="J63" s="3" t="inlineStr">
        <is>
          <t>現在、算定している</t>
        </is>
      </c>
      <c r="K63" s="3" t="inlineStr">
        <is>
          <t>関節可動域運動, 筋力増強運動, DVT予防, リラクセーション, ポジショニング, 自主運動指導, 術後リハビリテーションのオリエンテーション</t>
        </is>
      </c>
      <c r="L63" s="3" t="inlineStr">
        <is>
          <t>全症例の0％〜24％程度</t>
        </is>
      </c>
      <c r="N63" s="3" t="inlineStr">
        <is>
          <t>全症例の0％〜24％程度</t>
        </is>
      </c>
      <c r="P63" s="3" t="inlineStr">
        <is>
          <t>全症例の0％〜24％程度</t>
        </is>
      </c>
      <c r="R63" s="3" t="inlineStr">
        <is>
          <t>全症例の0％〜24％程度</t>
        </is>
      </c>
      <c r="T63" s="3" t="inlineStr">
        <is>
          <t>握力, 下腿周径</t>
        </is>
      </c>
      <c r="V63" s="3" t="inlineStr">
        <is>
          <t>認知機能, 握力</t>
        </is>
      </c>
      <c r="X63" s="3" t="inlineStr">
        <is>
          <t>ロコモ25（質問票）</t>
        </is>
      </c>
      <c r="Z63" s="3" t="inlineStr">
        <is>
          <t>Barthel Index（BI）, FIM</t>
        </is>
      </c>
      <c r="AB63" s="3" t="inlineStr">
        <is>
          <t>HDS-R</t>
        </is>
      </c>
      <c r="AD63" s="3" t="inlineStr">
        <is>
          <t>定量的な下肢筋力測定, 深部感覚評価, 認知機能, 過去の転倒歴, 既往疾患の有無（脳血管疾患、パーキンソン病など）, ベッド周囲および病室環境</t>
        </is>
      </c>
      <c r="AF63" s="3" t="inlineStr">
        <is>
          <t>決まっている</t>
        </is>
      </c>
      <c r="AG63" s="3" t="inlineStr">
        <is>
          <t>術後1日目，術後14日目</t>
        </is>
      </c>
      <c r="AI63" s="3" t="inlineStr">
        <is>
          <t>下肢筋力強化, バランス練習, 歩行練習, 歩容改善, 起立、着座動作練習, 環境調整, 補助具、装具の適正化, 認知面への介入, 行動面への介入, 教育、指導</t>
        </is>
      </c>
    </row>
    <row r="64" ht="22.5" customHeight="1">
      <c r="A64" s="32" t="n">
        <v>46090.37627998843</v>
      </c>
      <c r="B64" s="3" t="inlineStr">
        <is>
          <t>佐藤大樹</t>
        </is>
      </c>
      <c r="C64" s="3" t="inlineStr">
        <is>
          <t>社会福祉法人函館厚生院函館五稜郭病院</t>
        </is>
      </c>
      <c r="D64" s="3" t="inlineStr">
        <is>
          <t>北海道</t>
        </is>
      </c>
      <c r="E64" s="3" t="inlineStr">
        <is>
          <t>gaburichu_takeshi@icloud.com</t>
        </is>
      </c>
      <c r="F64" s="3" t="inlineStr">
        <is>
          <t>作業療法士</t>
        </is>
      </c>
      <c r="G64" s="3" t="n">
        <v>146</v>
      </c>
      <c r="H64" s="3" t="n">
        <v>36</v>
      </c>
      <c r="I64" s="3" t="n">
        <v>5</v>
      </c>
      <c r="J64" s="3" t="inlineStr">
        <is>
          <t>届け出はしていないが、現在検討中である</t>
        </is>
      </c>
      <c r="K64" s="3" t="inlineStr">
        <is>
          <t>関節可動域運動, 筋力増強運動, 呼吸リハビリテーション, DVT予防, リラクセーション, ポジショニング, 自主運動指導, 術後リハビリテーションのオリエンテーション, 離床（例：車椅子移乗,立位,歩行など）</t>
        </is>
      </c>
      <c r="L64" s="3" t="inlineStr">
        <is>
          <t>全症例の75％〜100％程度</t>
        </is>
      </c>
      <c r="M64" s="3" t="inlineStr">
        <is>
          <t>特別な対応なし</t>
        </is>
      </c>
      <c r="N64" s="3" t="inlineStr">
        <is>
          <t>全症例の25％〜49％程度</t>
        </is>
      </c>
      <c r="P64" s="3" t="inlineStr">
        <is>
          <t>全症例の25％〜49％程度</t>
        </is>
      </c>
      <c r="R64" s="3" t="inlineStr">
        <is>
          <t>全症例の0％〜24％程度</t>
        </is>
      </c>
      <c r="T64" s="3" t="inlineStr">
        <is>
          <t>握力, 膝伸展筋力, 歩行速度, TUG</t>
        </is>
      </c>
      <c r="V64" s="3" t="inlineStr">
        <is>
          <t>TUG, 認知機能, 握力</t>
        </is>
      </c>
      <c r="X64" s="3" t="inlineStr">
        <is>
          <t>実施していない</t>
        </is>
      </c>
      <c r="Y64" s="3" t="inlineStr">
        <is>
          <t>現状大腿骨骨折のみを対象としているため，病前実施ができない．質問紙は認知機能の問題や労力の観点から実施が難しい．</t>
        </is>
      </c>
      <c r="Z64" s="3" t="inlineStr">
        <is>
          <t>Barthel Index（BI）, FIM</t>
        </is>
      </c>
      <c r="AB64" s="3" t="inlineStr">
        <is>
          <t>HDS-R, AMTS</t>
        </is>
      </c>
      <c r="AD64" s="3" t="inlineStr">
        <is>
          <t>定量的な下肢筋力測定, 認知機能</t>
        </is>
      </c>
      <c r="AF64" s="3" t="inlineStr">
        <is>
          <t>決まっていない</t>
        </is>
      </c>
      <c r="AH64" s="3" t="inlineStr">
        <is>
          <t>科内として定期的な取り決めはあるが，施設FLS活動として具体的には決めてはいない．術前の認知機能検査，握力測定は極力実施するよう決めている．</t>
        </is>
      </c>
      <c r="AI64" s="3" t="inlineStr">
        <is>
          <t>下肢筋力強化, バランス練習, 歩行練習, 歩容改善, 起立、着座動作練習, 環境調整, 補助具、装具の適正化, 認知面への介入, 行動面への介入, 教育、指導</t>
        </is>
      </c>
    </row>
    <row r="65" ht="22.5" customHeight="1">
      <c r="A65" s="32" t="n">
        <v>46090.40437293982</v>
      </c>
      <c r="B65" s="3" t="inlineStr">
        <is>
          <t>木村英司</t>
        </is>
      </c>
      <c r="C65" s="3" t="inlineStr">
        <is>
          <t>中部国際医療センター</t>
        </is>
      </c>
      <c r="D65" s="3" t="inlineStr">
        <is>
          <t>岐阜県</t>
        </is>
      </c>
      <c r="E65" s="3" t="inlineStr">
        <is>
          <t>riha@cjimc-hp.jp</t>
        </is>
      </c>
      <c r="F65" s="3" t="inlineStr">
        <is>
          <t>リハビリテーション技術部/理学療法士</t>
        </is>
      </c>
      <c r="G65" s="3" t="n">
        <v>500</v>
      </c>
      <c r="H65" s="3" t="n">
        <v>10</v>
      </c>
      <c r="I65" s="3" t="n">
        <v>4</v>
      </c>
      <c r="J65" s="3" t="inlineStr">
        <is>
          <t>届け出はしていないが、現在検討中である</t>
        </is>
      </c>
      <c r="K65" s="3" t="inlineStr">
        <is>
          <t>関節可動域運動, DVT予防, ポジショニング, 術後リハビリテーションのオリエンテーション, 離床（例：車椅子移乗,立位,歩行など）</t>
        </is>
      </c>
      <c r="L65" s="3" t="inlineStr">
        <is>
          <t>全症例の0％〜24％程度</t>
        </is>
      </c>
      <c r="N65" s="3" t="inlineStr">
        <is>
          <t>全症例の0％〜24％程度</t>
        </is>
      </c>
      <c r="P65" s="3" t="inlineStr">
        <is>
          <t>全症例の0％〜24％程度</t>
        </is>
      </c>
      <c r="R65" s="3" t="inlineStr">
        <is>
          <t>全症例の0％〜24％程度</t>
        </is>
      </c>
      <c r="T65" s="3" t="inlineStr">
        <is>
          <t>握力, TUG, 下腿周径</t>
        </is>
      </c>
      <c r="V65" s="3" t="inlineStr">
        <is>
          <t>TUG, 認知機能, 握力</t>
        </is>
      </c>
      <c r="X65" s="3" t="inlineStr">
        <is>
          <t>立ち上がりテスト</t>
        </is>
      </c>
      <c r="Z65" s="3" t="inlineStr">
        <is>
          <t>FIM</t>
        </is>
      </c>
      <c r="AB65" s="3" t="inlineStr">
        <is>
          <t>MMSE, HDS-R</t>
        </is>
      </c>
      <c r="AD65" s="3" t="inlineStr">
        <is>
          <t>定量的な下肢筋力測定, TUG, 10m歩行速度, 認知機能, 過去の転倒歴, NRS</t>
        </is>
      </c>
      <c r="AF65" s="3" t="inlineStr">
        <is>
          <t>決まっていない</t>
        </is>
      </c>
      <c r="AH65" s="3" t="inlineStr">
        <is>
          <t>適宜となります。</t>
        </is>
      </c>
      <c r="AI65" s="3" t="inlineStr">
        <is>
          <t>下肢筋力強化, バランス練習, 歩行練習, 歩容改善, 起立、着座動作練習, 環境調整, 補助具、装具の適正化, 認知面への介入, 教育、指導</t>
        </is>
      </c>
    </row>
    <row r="66" ht="22.5" customHeight="1">
      <c r="A66" s="32" t="n">
        <v>46090.40549748843</v>
      </c>
      <c r="B66" s="3" t="inlineStr">
        <is>
          <t>中　翔一郎</t>
        </is>
      </c>
      <c r="C66" s="3" t="inlineStr">
        <is>
          <t>特定医療法人　明徳会　佐藤第一病院</t>
        </is>
      </c>
      <c r="D66" s="3" t="inlineStr">
        <is>
          <t>大分県</t>
        </is>
      </c>
      <c r="E66" s="3" t="inlineStr">
        <is>
          <t>meitokukai-rh@sato-d1.com</t>
        </is>
      </c>
      <c r="F66" s="3" t="inlineStr">
        <is>
          <t>リハビリテーション部　理学療法士</t>
        </is>
      </c>
      <c r="G66" s="3" t="n">
        <v>66</v>
      </c>
      <c r="H66" s="3" t="n">
        <v>11</v>
      </c>
      <c r="I66" s="3" t="n">
        <v>5</v>
      </c>
      <c r="J66" s="3" t="inlineStr">
        <is>
          <t>現在、算定している</t>
        </is>
      </c>
      <c r="K66" s="3" t="inlineStr">
        <is>
          <t>関節可動域運動, リラクセーション, ポジショニング, 術後リハビリテーションのオリエンテーション</t>
        </is>
      </c>
      <c r="L66" s="3" t="inlineStr">
        <is>
          <t>全症例の50％〜74％程度</t>
        </is>
      </c>
      <c r="M66" s="3" t="inlineStr">
        <is>
          <t>物理療法など電気刺激療法（TENS）による疼痛緩和など</t>
        </is>
      </c>
      <c r="N66" s="3" t="inlineStr">
        <is>
          <t>全症例の25％〜49％程度</t>
        </is>
      </c>
      <c r="P66" s="3" t="inlineStr">
        <is>
          <t>全症例の0％〜24％程度</t>
        </is>
      </c>
      <c r="Q66" s="3" t="inlineStr">
        <is>
          <t>徒手、物理療法を全症例実施し、術後早期より起立練習を実施している（回数確認）</t>
        </is>
      </c>
      <c r="R66" s="3" t="inlineStr">
        <is>
          <t>全症例の0％〜24％程度</t>
        </is>
      </c>
      <c r="T66" s="3" t="inlineStr">
        <is>
          <t>握力</t>
        </is>
      </c>
      <c r="V66" s="3" t="inlineStr">
        <is>
          <t>握力</t>
        </is>
      </c>
      <c r="X66" s="3" t="inlineStr">
        <is>
          <t>実施していない</t>
        </is>
      </c>
      <c r="Y66" s="3" t="inlineStr">
        <is>
          <t>急性疾患の評価を優先しており、ロコモでも視点で評価していない</t>
        </is>
      </c>
      <c r="Z66" s="3" t="inlineStr">
        <is>
          <t>Barthel Index（BI）</t>
        </is>
      </c>
      <c r="AB66" s="3" t="inlineStr">
        <is>
          <t>MMSE, HDS-R</t>
        </is>
      </c>
      <c r="AD66" s="3" t="inlineStr">
        <is>
          <t>実施していない</t>
        </is>
      </c>
      <c r="AE66" s="3" t="inlineStr">
        <is>
          <t>施設内で定めている評価はないが、FBS、TUG、FRIや環境調整などを適時スタッフが個別に実施している</t>
        </is>
      </c>
      <c r="AH66" s="3" t="inlineStr">
        <is>
          <t>多様な疾患の方が入院してくる施設であり、統一することが難しい</t>
        </is>
      </c>
      <c r="AI66" s="3" t="inlineStr">
        <is>
          <t>下肢筋力強化, バランス練習, 歩行練習, 歩容改善, 起立、着座動作練習, 環境調整, 補助具、装具の適正化, 認知面への介入, 教育、指導</t>
        </is>
      </c>
    </row>
    <row r="67" ht="22.5" customHeight="1">
      <c r="A67" s="32" t="n">
        <v>46090.54259209491</v>
      </c>
      <c r="B67" s="3" t="inlineStr">
        <is>
          <t>中西　亨</t>
        </is>
      </c>
      <c r="C67" s="3" t="inlineStr">
        <is>
          <t>医療法人大医会　日進おりど病院</t>
        </is>
      </c>
      <c r="D67" s="3" t="inlineStr">
        <is>
          <t>愛知県</t>
        </is>
      </c>
      <c r="E67" s="3" t="inlineStr">
        <is>
          <t>orido_reha@daiikai.jp</t>
        </is>
      </c>
      <c r="F67" s="3" t="inlineStr">
        <is>
          <t>リハビリテーション科/理学療法士</t>
        </is>
      </c>
      <c r="G67" s="3" t="n">
        <v>61</v>
      </c>
      <c r="H67" s="3" t="n">
        <v>11</v>
      </c>
      <c r="I67" s="3" t="n">
        <v>3</v>
      </c>
      <c r="J67" s="3" t="inlineStr">
        <is>
          <t>届け出をしておらず、検討もしていない</t>
        </is>
      </c>
      <c r="K67" s="3" t="inlineStr">
        <is>
          <t>関節可動域運動, 筋力増強運動, リラクセーション, ポジショニング, 自主運動指導, 離床（例：車椅子移乗,立位,歩行など）</t>
        </is>
      </c>
      <c r="L67" s="3" t="inlineStr">
        <is>
          <t>全症例の0％〜24％程度</t>
        </is>
      </c>
      <c r="N67" s="3" t="inlineStr">
        <is>
          <t>全症例の25％〜49％程度</t>
        </is>
      </c>
      <c r="P67" s="3" t="inlineStr">
        <is>
          <t>全症例の0％〜24％程度</t>
        </is>
      </c>
      <c r="R67" s="3" t="inlineStr">
        <is>
          <t>全症例の0％〜24％程度</t>
        </is>
      </c>
      <c r="T67" s="3" t="inlineStr">
        <is>
          <t>SPPB</t>
        </is>
      </c>
      <c r="V67" s="3" t="inlineStr">
        <is>
          <t>認知機能</t>
        </is>
      </c>
      <c r="X67" s="3" t="inlineStr">
        <is>
          <t>立ち上がりテスト</t>
        </is>
      </c>
      <c r="Z67" s="3" t="inlineStr">
        <is>
          <t>FIM</t>
        </is>
      </c>
      <c r="AB67" s="3" t="inlineStr">
        <is>
          <t>MMSE, HDS-R, AMTS</t>
        </is>
      </c>
      <c r="AD67" s="3" t="inlineStr">
        <is>
          <t>開眼片脚立位時間, SPPB、Functional Reach Test（FRT）, 認知機能, SIDE</t>
        </is>
      </c>
      <c r="AF67" s="3" t="inlineStr">
        <is>
          <t>決まっている</t>
        </is>
      </c>
      <c r="AG67" s="3" t="inlineStr">
        <is>
          <t>14日目にSPPB、MMSE評価</t>
        </is>
      </c>
      <c r="AI67" s="3" t="inlineStr">
        <is>
          <t>下肢筋力強化, バランス練習, 歩行練習, 歩容改善, 起立、着座動作練習, 環境調整, 補助具、装具の適正化, 認知面への介入, 行動面への介入, 教育、指導</t>
        </is>
      </c>
    </row>
    <row r="68" ht="22.5" customHeight="1">
      <c r="A68" s="32" t="n">
        <v>46090.63999226852</v>
      </c>
      <c r="B68" s="3" t="inlineStr">
        <is>
          <t>河合　賢太郎</t>
        </is>
      </c>
      <c r="C68" s="3" t="inlineStr">
        <is>
          <t>大垣市民病院</t>
        </is>
      </c>
      <c r="D68" s="3" t="inlineStr">
        <is>
          <t>岐阜県</t>
        </is>
      </c>
      <c r="E68" s="3" t="inlineStr">
        <is>
          <t>giants.kawa.kami.g@gmail.com</t>
        </is>
      </c>
      <c r="F68" s="3" t="inlineStr">
        <is>
          <t>リハビリテーション科／理学療法士</t>
        </is>
      </c>
      <c r="G68" s="3" t="n">
        <v>198</v>
      </c>
      <c r="H68" s="3" t="n">
        <v>8</v>
      </c>
      <c r="I68" s="3" t="n">
        <v>0</v>
      </c>
      <c r="J68" s="3" t="inlineStr">
        <is>
          <t>届け出はしていないが、現在検討中である</t>
        </is>
      </c>
      <c r="K68" s="3" t="inlineStr">
        <is>
          <t>関節可動域運動, 筋力増強運動, 呼吸リハビリテーション, DVT予防, リラクセーション, ポジショニング, 自主運動指導, 術後リハビリテーションのオリエンテーション, 離床（例：車椅子移乗,立位,歩行など）</t>
        </is>
      </c>
      <c r="L68" s="3" t="inlineStr">
        <is>
          <t>全症例の0％〜24％程度</t>
        </is>
      </c>
      <c r="N68" s="3" t="inlineStr">
        <is>
          <t>全症例の0％〜24％程度</t>
        </is>
      </c>
      <c r="P68" s="3" t="inlineStr">
        <is>
          <t>全症例の0％〜24％程度</t>
        </is>
      </c>
      <c r="R68" s="3" t="inlineStr">
        <is>
          <t>全症例の0％〜24％程度</t>
        </is>
      </c>
      <c r="T68" s="3" t="inlineStr">
        <is>
          <t>実施していない</t>
        </is>
      </c>
      <c r="U68" s="3" t="inlineStr">
        <is>
          <t>評価する時間が取れない</t>
        </is>
      </c>
      <c r="V68" s="3" t="inlineStr">
        <is>
          <t>実施していない</t>
        </is>
      </c>
      <c r="W68" s="3" t="inlineStr">
        <is>
          <t>評価する時間がとれない</t>
        </is>
      </c>
      <c r="X68" s="3" t="inlineStr">
        <is>
          <t>実施していない</t>
        </is>
      </c>
      <c r="Y68" s="3" t="inlineStr">
        <is>
          <t>評価する時間が取れない</t>
        </is>
      </c>
      <c r="Z68" s="3" t="inlineStr">
        <is>
          <t>Barthel Index（BI）</t>
        </is>
      </c>
      <c r="AB68" s="3" t="inlineStr">
        <is>
          <t>実施していない</t>
        </is>
      </c>
      <c r="AC68" s="3" t="inlineStr">
        <is>
          <t>看護師が認知機能検査を実施するため</t>
        </is>
      </c>
      <c r="AD68" s="3" t="inlineStr">
        <is>
          <t>実施していない</t>
        </is>
      </c>
      <c r="AE68" s="3" t="inlineStr">
        <is>
          <t>必要があれば実施しているが、実施することが定められてはいない。</t>
        </is>
      </c>
      <c r="AH68" s="3" t="inlineStr">
        <is>
          <t>必要があれば実施しているが、全症例に共通した評価をする時間が取れない</t>
        </is>
      </c>
      <c r="AI68" s="3" t="inlineStr">
        <is>
          <t>下肢筋力強化, バランス練習, 歩行練習, 歩容改善, 起立、着座動作練習, 環境調整, 補助具、装具の適正化, 認知面への介入, 行動面への介入, 薬剤調整, 教育、指導</t>
        </is>
      </c>
    </row>
    <row r="69" ht="22.5" customHeight="1">
      <c r="A69" s="32" t="n">
        <v>46091.35100034723</v>
      </c>
      <c r="B69" s="3" t="inlineStr">
        <is>
          <t>山根 健太</t>
        </is>
      </c>
      <c r="C69" s="3" t="inlineStr">
        <is>
          <t>鳥取県立中央病院</t>
        </is>
      </c>
      <c r="D69" s="3" t="inlineStr">
        <is>
          <t>鳥取県</t>
        </is>
      </c>
      <c r="E69" s="3" t="inlineStr">
        <is>
          <t>y.kenta.chubyoriha.pt@gmail.com</t>
        </is>
      </c>
      <c r="F69" s="3" t="inlineStr">
        <is>
          <t>リハビリテーション室／理学療法士</t>
        </is>
      </c>
      <c r="G69" s="3" t="n">
        <v>90</v>
      </c>
      <c r="H69" s="3" t="n">
        <v>10</v>
      </c>
      <c r="I69" s="3" t="n">
        <v>7</v>
      </c>
      <c r="J69" s="3" t="inlineStr">
        <is>
          <t>届け出はしていないが、現在検討中である</t>
        </is>
      </c>
      <c r="K69" s="3" t="inlineStr">
        <is>
          <t>関節可動域運動, 筋力増強運動, DVT予防, リラクセーション, ポジショニング, 自主運動指導, 術後リハビリテーションのオリエンテーション</t>
        </is>
      </c>
      <c r="L69" s="3" t="inlineStr">
        <is>
          <t>全症例の0％〜24％程度</t>
        </is>
      </c>
      <c r="N69" s="3" t="inlineStr">
        <is>
          <t>全症例の0％〜24％程度</t>
        </is>
      </c>
      <c r="P69" s="3" t="inlineStr">
        <is>
          <t>全症例の25％〜49％程度</t>
        </is>
      </c>
      <c r="R69" s="3" t="inlineStr">
        <is>
          <t>全症例の0％〜24％程度</t>
        </is>
      </c>
      <c r="T69" s="3" t="inlineStr">
        <is>
          <t>TUG</t>
        </is>
      </c>
      <c r="V69" s="3" t="inlineStr">
        <is>
          <t>TUG</t>
        </is>
      </c>
      <c r="X69" s="3" t="inlineStr">
        <is>
          <t>実施していない</t>
        </is>
      </c>
      <c r="Y69" s="3" t="inlineStr">
        <is>
          <t>限られた時間の中で早期離床への課題を中心に取り組み、可能となれば早期に転院となるため</t>
        </is>
      </c>
      <c r="Z69" s="3" t="inlineStr">
        <is>
          <t>Barthel Index（BI）, FIM</t>
        </is>
      </c>
      <c r="AB69" s="3" t="inlineStr">
        <is>
          <t>MMSE, HDS-R, AMTS</t>
        </is>
      </c>
      <c r="AD69" s="3" t="inlineStr">
        <is>
          <t>TUG, 認知機能, せん妄, 過去の転倒歴, 既往疾患の有無（脳血管疾患、パーキンソン病など）, 薬剤（向精神薬、降圧薬、利尿薬、ポリファーマシーなど）, ベッド周囲および病室環境</t>
        </is>
      </c>
      <c r="AF69" s="3" t="inlineStr">
        <is>
          <t>決まっていない</t>
        </is>
      </c>
      <c r="AH69" s="3" t="inlineStr">
        <is>
          <t>FLSとしての活動が不十分だから</t>
        </is>
      </c>
      <c r="AI69" s="3" t="inlineStr">
        <is>
          <t>下肢筋力強化, バランス練習, 歩行練習, 歩容改善, 起立、着座動作練習, 環境調整, 補助具、装具の適正化, 認知面への介入, 行動面への介入, 教育、指導</t>
        </is>
      </c>
    </row>
    <row r="70" ht="22.5" customHeight="1">
      <c r="A70" s="32" t="n">
        <v>46091.39166469908</v>
      </c>
      <c r="B70" s="3" t="inlineStr">
        <is>
          <t>柳川　明義</t>
        </is>
      </c>
      <c r="C70" s="3" t="inlineStr">
        <is>
          <t>社会医療法人信愛会畷生会脳神経外科病院</t>
        </is>
      </c>
      <c r="D70" s="3" t="inlineStr">
        <is>
          <t>大阪府</t>
        </is>
      </c>
      <c r="E70" s="3" t="inlineStr">
        <is>
          <t>ak.yanagawa@tesseikai.jp</t>
        </is>
      </c>
      <c r="F70" s="3" t="inlineStr">
        <is>
          <t>リハビリテーション科／作業療法士</t>
        </is>
      </c>
      <c r="G70" s="3" t="n">
        <v>108</v>
      </c>
      <c r="H70" s="3" t="n">
        <v>25</v>
      </c>
      <c r="I70" s="3" t="n">
        <v>0</v>
      </c>
      <c r="J70" s="3" t="inlineStr">
        <is>
          <t>届け出はしていないが、現在検討中である</t>
        </is>
      </c>
      <c r="K70" s="3" t="inlineStr">
        <is>
          <t>実施していない</t>
        </is>
      </c>
      <c r="L70" s="3" t="inlineStr">
        <is>
          <t>全症例の0％〜24％程度</t>
        </is>
      </c>
      <c r="N70" s="3" t="inlineStr">
        <is>
          <t>全症例の0％〜24％程度</t>
        </is>
      </c>
      <c r="P70" s="3" t="inlineStr">
        <is>
          <t>全症例の0％〜24％程度</t>
        </is>
      </c>
      <c r="R70" s="3" t="inlineStr">
        <is>
          <t>全症例の0％〜24％程度</t>
        </is>
      </c>
      <c r="T70" s="3" t="inlineStr">
        <is>
          <t>握力, 膝伸展筋力, 5回椅子立ち上がりテスト, 歩行速度, SPPB, TUG, 6分間歩行距離, 開眼片脚立位時間, 下腿周径</t>
        </is>
      </c>
      <c r="V70" s="3" t="inlineStr">
        <is>
          <t>TUG, 6分間歩行距離, 認知機能</t>
        </is>
      </c>
      <c r="X70" s="3" t="inlineStr">
        <is>
          <t>実施していない</t>
        </is>
      </c>
      <c r="Y70" s="3" t="inlineStr">
        <is>
          <t>ロコモティブシンドロームをそれほど考慮したリハビリを実施していない</t>
        </is>
      </c>
      <c r="Z70" s="3" t="inlineStr">
        <is>
          <t>Barthel Index（BI）, FIM</t>
        </is>
      </c>
      <c r="AB70" s="3" t="inlineStr">
        <is>
          <t>HDS-R</t>
        </is>
      </c>
      <c r="AD70" s="3" t="inlineStr">
        <is>
          <t>定量的な下肢筋力測定, 開眼片脚立位時間, TUG, 10m歩行速度, 過去の転倒歴, 既往疾患の有無（脳血管疾患、パーキンソン病など）, ベッド周囲および病室環境</t>
        </is>
      </c>
      <c r="AF70" s="3" t="inlineStr">
        <is>
          <t>決まっていない</t>
        </is>
      </c>
      <c r="AH70" s="3" t="inlineStr">
        <is>
          <t>必要に応じて（対象者に応じて）実施する為</t>
        </is>
      </c>
      <c r="AI70" s="3" t="inlineStr">
        <is>
          <t>下肢筋力強化, バランス練習, 歩行練習, 歩容改善, 起立、着座動作練習, 環境調整, 補助具、装具の適正化, 教育、指導</t>
        </is>
      </c>
    </row>
    <row r="71" ht="22.5" customHeight="1">
      <c r="A71" s="32" t="n">
        <v>46091.40037730324</v>
      </c>
      <c r="B71" s="3" t="inlineStr">
        <is>
          <t>内藤浩平</t>
        </is>
      </c>
      <c r="C71" s="3" t="inlineStr">
        <is>
          <t>西の京病院</t>
        </is>
      </c>
      <c r="D71" s="3" t="inlineStr">
        <is>
          <t>奈良県</t>
        </is>
      </c>
      <c r="E71" s="3" t="inlineStr">
        <is>
          <t>ols@nishinokyo.or.jp</t>
        </is>
      </c>
      <c r="F71" s="3" t="inlineStr">
        <is>
          <t>明道知巳</t>
        </is>
      </c>
      <c r="G71" s="3" t="n">
        <v>83</v>
      </c>
      <c r="H71" s="3" t="n">
        <v>19</v>
      </c>
      <c r="I71" s="3" t="n">
        <v>7</v>
      </c>
      <c r="J71" s="3" t="inlineStr">
        <is>
          <t>現在、算定している</t>
        </is>
      </c>
      <c r="K71" s="3" t="inlineStr">
        <is>
          <t>関節可動域運動, 筋力増強運動, リラクセーション, ポジショニング, 自主運動指導, 術後リハビリテーションのオリエンテーション, 術前評価とADL指導（移乗・トイレ動作）、安静度の決定など</t>
        </is>
      </c>
      <c r="L71" s="3" t="inlineStr">
        <is>
          <t>全症例の25％〜49％程度</t>
        </is>
      </c>
      <c r="N71" s="3" t="inlineStr">
        <is>
          <t>全症例の0％〜24％程度</t>
        </is>
      </c>
      <c r="P71" s="3" t="inlineStr">
        <is>
          <t>全症例の0％〜24％程度</t>
        </is>
      </c>
      <c r="R71" s="3" t="inlineStr">
        <is>
          <t>全症例の0％〜24％程度</t>
        </is>
      </c>
      <c r="T71" s="3" t="inlineStr">
        <is>
          <t>握力, 膝伸展筋力, 5回椅子立ち上がりテスト, 歩行速度, SPPB, TUG, 開眼片脚立位時間, 下腿周径</t>
        </is>
      </c>
      <c r="V71" s="3" t="inlineStr">
        <is>
          <t>TUG, 握力</t>
        </is>
      </c>
      <c r="X71" s="3" t="inlineStr">
        <is>
          <t>立ち上がりテスト</t>
        </is>
      </c>
      <c r="Z71" s="3" t="inlineStr">
        <is>
          <t>Barthel Index（BI）, FIM</t>
        </is>
      </c>
      <c r="AB71" s="3" t="inlineStr">
        <is>
          <t>HDS-R</t>
        </is>
      </c>
      <c r="AD71" s="3" t="inlineStr">
        <is>
          <t>実施していない</t>
        </is>
      </c>
      <c r="AE71" s="3" t="inlineStr">
        <is>
          <t>転棟があったケースについては原因確認し、対策を検討するがすべてのケースに決まった評価は実施できていない。</t>
        </is>
      </c>
      <c r="AI71" s="3" t="inlineStr">
        <is>
          <t>下肢筋力強化, バランス練習, 歩行練習, 歩容改善, 起立、着座動作練習, 環境調整, 認知面への介入, 行動面への介入, 教育、指導</t>
        </is>
      </c>
    </row>
    <row r="72" ht="22.5" customHeight="1">
      <c r="A72" s="32" t="n">
        <v>46091.41776642361</v>
      </c>
      <c r="B72" s="3" t="inlineStr">
        <is>
          <t>渡邉友彦</t>
        </is>
      </c>
      <c r="C72" s="3" t="inlineStr">
        <is>
          <t>長野市民病院</t>
        </is>
      </c>
      <c r="D72" s="3" t="inlineStr">
        <is>
          <t>長野県</t>
        </is>
      </c>
      <c r="E72" s="3" t="inlineStr">
        <is>
          <t>tomohiko_watanabe@hospital.nagano.nagano.jp</t>
        </is>
      </c>
      <c r="F72" s="3" t="inlineStr">
        <is>
          <t>リハビリテーション科　理学療法士</t>
        </is>
      </c>
      <c r="G72" s="3" t="n">
        <v>181</v>
      </c>
      <c r="H72" s="3" t="n">
        <v>8</v>
      </c>
      <c r="I72" s="3" t="n">
        <v>6</v>
      </c>
      <c r="J72" s="3" t="inlineStr">
        <is>
          <t>届け出をしておらず、検討もしていない</t>
        </is>
      </c>
      <c r="K72" s="3" t="inlineStr">
        <is>
          <t>主には実施していない。依頼があったときのみ。</t>
        </is>
      </c>
      <c r="L72" s="3" t="inlineStr">
        <is>
          <t>全症例の50％〜74％程度</t>
        </is>
      </c>
      <c r="M72" s="3" t="inlineStr">
        <is>
          <t>術翌日から介入しており、早期離床を目的としているから</t>
        </is>
      </c>
      <c r="N72" s="3" t="inlineStr">
        <is>
          <t>全症例の25％〜49％程度</t>
        </is>
      </c>
      <c r="P72" s="3" t="inlineStr">
        <is>
          <t>全症例の25％〜49％程度</t>
        </is>
      </c>
      <c r="R72" s="3" t="inlineStr">
        <is>
          <t>全症例の25％〜49％程度</t>
        </is>
      </c>
      <c r="T72" s="3" t="inlineStr">
        <is>
          <t>膝伸展筋力, 歩行速度, 下腿周径</t>
        </is>
      </c>
      <c r="V72" s="3" t="inlineStr">
        <is>
          <t>セラピストによって実施しているが、必ずやると決めていない</t>
        </is>
      </c>
      <c r="X72" s="3" t="inlineStr">
        <is>
          <t>実施していない</t>
        </is>
      </c>
      <c r="Y72" s="3" t="inlineStr">
        <is>
          <t>行うと決めていない</t>
        </is>
      </c>
      <c r="Z72" s="3" t="inlineStr">
        <is>
          <t>FIM</t>
        </is>
      </c>
      <c r="AB72" s="3" t="inlineStr">
        <is>
          <t>MMSE</t>
        </is>
      </c>
      <c r="AD72" s="3" t="inlineStr">
        <is>
          <t>転倒リスク評価表で評価している</t>
        </is>
      </c>
      <c r="AF72" s="3" t="inlineStr">
        <is>
          <t>決まっていない</t>
        </is>
      </c>
      <c r="AH72" s="3" t="inlineStr">
        <is>
          <t>日にちまでは具体的に決めていない。1週のうちに行うようにしている。</t>
        </is>
      </c>
      <c r="AI72" s="3" t="inlineStr">
        <is>
          <t>下肢筋力強化, バランス練習, 歩行練習, 起立、着座動作練習, 環境調整, 認知面への介入</t>
        </is>
      </c>
    </row>
    <row r="73" ht="22.5" customHeight="1">
      <c r="A73" s="32" t="n">
        <v>46091.42864465278</v>
      </c>
      <c r="B73" s="3" t="inlineStr">
        <is>
          <t>鵜鷹　正敏</t>
        </is>
      </c>
      <c r="C73" s="3" t="inlineStr">
        <is>
          <t>西脇市立西脇病院</t>
        </is>
      </c>
      <c r="D73" s="3" t="inlineStr">
        <is>
          <t>兵庫県</t>
        </is>
      </c>
      <c r="E73" s="3" t="inlineStr">
        <is>
          <t>rehapt@nshp.jp</t>
        </is>
      </c>
      <c r="G73" s="3" t="n">
        <v>114</v>
      </c>
      <c r="H73" s="3" t="n">
        <v>17</v>
      </c>
      <c r="I73" s="3" t="n">
        <v>9</v>
      </c>
      <c r="J73" s="3" t="inlineStr">
        <is>
          <t>届け出はしていないが、現在検討中である</t>
        </is>
      </c>
      <c r="K73" s="3" t="inlineStr">
        <is>
          <t>実施していない</t>
        </is>
      </c>
      <c r="L73" s="3" t="inlineStr">
        <is>
          <t>全症例の25％〜49％程度</t>
        </is>
      </c>
      <c r="N73" s="3" t="inlineStr">
        <is>
          <t>全症例の25％〜49％程度</t>
        </is>
      </c>
      <c r="P73" s="3" t="inlineStr">
        <is>
          <t>全症例の0％〜24％程度</t>
        </is>
      </c>
      <c r="R73" s="3" t="inlineStr">
        <is>
          <t>全症例の0％〜24％程度</t>
        </is>
      </c>
      <c r="T73" s="3" t="inlineStr">
        <is>
          <t>握力, 膝伸展筋力, 5回椅子立ち上がりテスト, 歩行速度, SPPB, 下腿周径, GNRI, 修正ＴＵＧ</t>
        </is>
      </c>
      <c r="V73" s="3" t="inlineStr">
        <is>
          <t>認知機能, GNRI, 握力, 修正ＴＵＧ</t>
        </is>
      </c>
      <c r="X73" s="3" t="inlineStr">
        <is>
          <t>立ち上がりテスト</t>
        </is>
      </c>
      <c r="Z73" s="3" t="inlineStr">
        <is>
          <t>Barthel Index（BI）</t>
        </is>
      </c>
      <c r="AB73" s="3" t="inlineStr">
        <is>
          <t>MMSE</t>
        </is>
      </c>
      <c r="AD73" s="3" t="inlineStr">
        <is>
          <t>定量的な下肢筋力測定, 10m歩行速度, SPPB、Functional Reach Test（FRT）, 5回椅子立ち上がりテスト, 認知機能, 修正ＴＵＧ</t>
        </is>
      </c>
      <c r="AF73" s="3" t="inlineStr">
        <is>
          <t>決まっている</t>
        </is>
      </c>
      <c r="AG73" s="3" t="inlineStr">
        <is>
          <t>術後１ＷＥＥＫ，退院日含めた３日間</t>
        </is>
      </c>
      <c r="AI73" s="3" t="inlineStr">
        <is>
          <t>下肢筋力強化, バランス練習, 歩行練習, 歩容改善, 起立、着座動作練習, 補助具、装具の適正化, 認知面への介入</t>
        </is>
      </c>
    </row>
    <row r="74" ht="22.5" customHeight="1">
      <c r="A74" s="32" t="n">
        <v>46091.51067472222</v>
      </c>
      <c r="B74" s="3" t="inlineStr">
        <is>
          <t>櫻井　亮佑</t>
        </is>
      </c>
      <c r="C74" s="3" t="inlineStr">
        <is>
          <t>社会福祉法人　聖霊会　聖霊病院</t>
        </is>
      </c>
      <c r="D74" s="3" t="inlineStr">
        <is>
          <t>愛知県</t>
        </is>
      </c>
      <c r="E74" s="3" t="inlineStr">
        <is>
          <t>reha@seirei-hospital.org</t>
        </is>
      </c>
      <c r="F74" s="3" t="inlineStr">
        <is>
          <t>リハビリテーション科　作業療法士</t>
        </is>
      </c>
      <c r="G74" s="3" t="n">
        <v>337</v>
      </c>
      <c r="H74" s="3" t="n">
        <v>17</v>
      </c>
      <c r="I74" s="3" t="n">
        <v>7</v>
      </c>
      <c r="J74" s="3" t="inlineStr">
        <is>
          <t>届け出はしていないが、現在検討中である</t>
        </is>
      </c>
      <c r="K74" s="3" t="inlineStr">
        <is>
          <t>関節可動域運動, 筋力増強運動, DVT予防, リラクセーション, ポジショニング, 自主運動指導, 術後リハビリテーションのオリエンテーション, 離床（例：車椅子移乗,立位,歩行など）</t>
        </is>
      </c>
      <c r="L74" s="3" t="inlineStr">
        <is>
          <t>全症例の0％〜24％程度</t>
        </is>
      </c>
      <c r="N74" s="3" t="inlineStr">
        <is>
          <t>全症例の0％〜24％程度</t>
        </is>
      </c>
      <c r="P74" s="3" t="inlineStr">
        <is>
          <t>全症例の0％〜24％程度</t>
        </is>
      </c>
      <c r="R74" s="3" t="inlineStr">
        <is>
          <t>全症例の0％〜24％程度</t>
        </is>
      </c>
      <c r="T74" s="3" t="inlineStr">
        <is>
          <t>握力, 歩行速度, TUG</t>
        </is>
      </c>
      <c r="V74" s="3" t="inlineStr">
        <is>
          <t>TUG, 認知機能, 握力</t>
        </is>
      </c>
      <c r="X74" s="3" t="inlineStr">
        <is>
          <t>実施していない</t>
        </is>
      </c>
      <c r="Y74" s="3" t="inlineStr">
        <is>
          <t>高齢の方が多いため</t>
        </is>
      </c>
      <c r="Z74" s="3" t="inlineStr">
        <is>
          <t>FIM</t>
        </is>
      </c>
      <c r="AB74" s="3" t="inlineStr">
        <is>
          <t>MMSE, HDS-R, AMTS</t>
        </is>
      </c>
      <c r="AD74" s="3" t="inlineStr">
        <is>
          <t>TUG, 10m歩行速度, 認知機能</t>
        </is>
      </c>
      <c r="AF74" s="3" t="inlineStr">
        <is>
          <t>決まっている</t>
        </is>
      </c>
      <c r="AG74" s="3" t="inlineStr">
        <is>
          <t>認知機能は術後4～6日。TUG、10m歩行は術後13～15日。</t>
        </is>
      </c>
      <c r="AI74" s="3" t="inlineStr">
        <is>
          <t>下肢筋力強化, バランス練習, 歩行練習, 歩容改善, 起立、着座動作練習, 環境調整, 補助具、装具の適正化, 認知面への介入, 行動面への介入, 教育、指導</t>
        </is>
      </c>
    </row>
    <row r="75" ht="22.5" customHeight="1">
      <c r="A75" s="32" t="n">
        <v>46091.52250395833</v>
      </c>
      <c r="B75" s="3" t="inlineStr">
        <is>
          <t>外川　慎吾</t>
        </is>
      </c>
      <c r="C75" s="3" t="inlineStr">
        <is>
          <t>公立学校共済組合　関東中央病院</t>
        </is>
      </c>
      <c r="D75" s="3" t="inlineStr">
        <is>
          <t>東京都</t>
        </is>
      </c>
      <c r="E75" s="3" t="inlineStr">
        <is>
          <t>togawa1228@woody.ocn.ne.jp</t>
        </is>
      </c>
      <c r="F75" s="3" t="inlineStr">
        <is>
          <t>リハビリテーション室／理学療法士</t>
        </is>
      </c>
      <c r="G75" s="3" t="n">
        <v>57</v>
      </c>
      <c r="H75" s="3" t="n">
        <v>9</v>
      </c>
      <c r="I75" s="3" t="n">
        <v>0</v>
      </c>
      <c r="J75" s="3" t="inlineStr">
        <is>
          <t>届け出をしておらず、検討もしていない</t>
        </is>
      </c>
      <c r="K75" s="3" t="inlineStr">
        <is>
          <t>関節可動域運動, 筋力増強運動, DVT予防, ポジショニング, 自主運動指導, 術後リハビリテーションのオリエンテーション, 離床（例：車椅子移乗,立位,歩行など）</t>
        </is>
      </c>
      <c r="L75" s="3" t="inlineStr">
        <is>
          <t>全症例の0％〜24％程度</t>
        </is>
      </c>
      <c r="N75" s="3" t="inlineStr">
        <is>
          <t>全症例の25％〜49％程度</t>
        </is>
      </c>
      <c r="P75" s="3" t="inlineStr">
        <is>
          <t>全症例の25％〜49％程度</t>
        </is>
      </c>
      <c r="R75" s="3" t="inlineStr">
        <is>
          <t>全症例の0％〜24％程度</t>
        </is>
      </c>
      <c r="T75" s="3" t="inlineStr">
        <is>
          <t>握力, 歩行速度</t>
        </is>
      </c>
      <c r="V75" s="3" t="inlineStr">
        <is>
          <t>認知機能, 握力</t>
        </is>
      </c>
      <c r="X75" s="3" t="inlineStr">
        <is>
          <t>立ち上がりテスト</t>
        </is>
      </c>
      <c r="Z75" s="3" t="inlineStr">
        <is>
          <t>Barthel Index（BI）</t>
        </is>
      </c>
      <c r="AB75" s="3" t="inlineStr">
        <is>
          <t>HDS-R</t>
        </is>
      </c>
      <c r="AD75" s="3" t="inlineStr">
        <is>
          <t>認知機能, 過去の転倒歴, 既往疾患の有無（脳血管疾患、パーキンソン病など）</t>
        </is>
      </c>
      <c r="AF75" s="3" t="inlineStr">
        <is>
          <t>決まっている</t>
        </is>
      </c>
      <c r="AG75" s="3" t="inlineStr">
        <is>
          <t>過去の転倒歴、既往歴は術前に聴取、把握
認知機能は術後2週間で実施</t>
        </is>
      </c>
      <c r="AI75" s="3" t="inlineStr">
        <is>
          <t>下肢筋力強化, バランス練習, 歩行練習, 歩容改善, 補助具、装具の適正化, 認知面への介入</t>
        </is>
      </c>
    </row>
    <row r="76" ht="22.5" customHeight="1">
      <c r="A76" s="32" t="n">
        <v>46091.57318008102</v>
      </c>
      <c r="B76" s="3" t="inlineStr">
        <is>
          <t>漣　佳記</t>
        </is>
      </c>
      <c r="C76" s="3" t="inlineStr">
        <is>
          <t>神戸掖済会病院</t>
        </is>
      </c>
      <c r="D76" s="3" t="inlineStr">
        <is>
          <t>兵庫県</t>
        </is>
      </c>
      <c r="E76" s="3" t="inlineStr">
        <is>
          <t>kobeekisaireha@yahoo.co.jp</t>
        </is>
      </c>
      <c r="F76" s="3" t="inlineStr">
        <is>
          <t>リハビリテーション部　理学療法士</t>
        </is>
      </c>
      <c r="G76" s="3" t="n">
        <v>221</v>
      </c>
      <c r="H76" s="3" t="n">
        <v>20</v>
      </c>
      <c r="I76" s="3" t="n">
        <v>0</v>
      </c>
      <c r="J76" s="3" t="inlineStr">
        <is>
          <t>届け出はしていないが、現在検討中である</t>
        </is>
      </c>
      <c r="K76" s="3" t="inlineStr">
        <is>
          <t>実施していない</t>
        </is>
      </c>
      <c r="L76" s="3" t="inlineStr">
        <is>
          <t>全症例の25％〜49％程度</t>
        </is>
      </c>
      <c r="N76" s="3" t="inlineStr">
        <is>
          <t>全症例の25％〜49％程度</t>
        </is>
      </c>
      <c r="P76" s="3" t="inlineStr">
        <is>
          <t>全症例の25％〜49％程度</t>
        </is>
      </c>
      <c r="R76" s="3" t="inlineStr">
        <is>
          <t>全症例の25％〜49％程度</t>
        </is>
      </c>
      <c r="T76" s="3" t="inlineStr">
        <is>
          <t>握力, 膝伸展筋力, SPPB, TUG, 下腿周径</t>
        </is>
      </c>
      <c r="V76" s="3" t="inlineStr">
        <is>
          <t>TUG, 認知機能, 握力</t>
        </is>
      </c>
      <c r="X76" s="3" t="inlineStr">
        <is>
          <t>実施していない</t>
        </is>
      </c>
      <c r="Z76" s="3" t="inlineStr">
        <is>
          <t>Barthel Index（BI）</t>
        </is>
      </c>
      <c r="AB76" s="3" t="inlineStr">
        <is>
          <t>MMSE</t>
        </is>
      </c>
      <c r="AD76" s="3" t="inlineStr">
        <is>
          <t>TUG, 認知機能, 既往疾患の有無（脳血管疾患、パーキンソン病など）</t>
        </is>
      </c>
      <c r="AF76" s="3" t="inlineStr">
        <is>
          <t>決まっている</t>
        </is>
      </c>
      <c r="AG76" s="3" t="inlineStr">
        <is>
          <t>術後７日目、14日目</t>
        </is>
      </c>
      <c r="AI76" s="3" t="inlineStr">
        <is>
          <t>下肢筋力強化, バランス練習, 歩行練習, 起立、着座動作練習, 補助具、装具の適正化</t>
        </is>
      </c>
    </row>
    <row r="77" ht="22.5" customHeight="1">
      <c r="A77" s="32" t="n">
        <v>46091.57507942129</v>
      </c>
      <c r="B77" s="3" t="inlineStr">
        <is>
          <t>横地正伸</t>
        </is>
      </c>
      <c r="C77" s="3" t="inlineStr">
        <is>
          <t>竹田綜合病院</t>
        </is>
      </c>
      <c r="D77" s="3" t="inlineStr">
        <is>
          <t>福島県</t>
        </is>
      </c>
      <c r="E77" s="3" t="inlineStr">
        <is>
          <t>kaname@takeda.or.jp</t>
        </is>
      </c>
      <c r="G77" s="3" t="n">
        <v>246</v>
      </c>
      <c r="H77" s="3" t="n">
        <v>12</v>
      </c>
      <c r="I77" s="3" t="n">
        <v>7</v>
      </c>
      <c r="J77" s="3" t="inlineStr">
        <is>
          <t>届け出はしていないが、現在検討中である</t>
        </is>
      </c>
      <c r="K77" s="3" t="inlineStr">
        <is>
          <t>関節可動域運動, 筋力増強運動, DVT予防, リラクセーション, ポジショニング, 自主運動指導, 術後リハビリテーションのオリエンテーション, 離床（例：車椅子移乗,立位,歩行など）</t>
        </is>
      </c>
      <c r="L77" s="3" t="inlineStr">
        <is>
          <t>全症例の75％〜100％程度</t>
        </is>
      </c>
      <c r="N77" s="3" t="inlineStr">
        <is>
          <t>全症例の0％〜24％程度</t>
        </is>
      </c>
      <c r="P77" s="3" t="inlineStr">
        <is>
          <t>全症例の0％〜24％程度</t>
        </is>
      </c>
      <c r="R77" s="3" t="inlineStr">
        <is>
          <t>全症例の0％〜24％程度</t>
        </is>
      </c>
      <c r="T77" s="3" t="inlineStr">
        <is>
          <t>握力, 下腿周径</t>
        </is>
      </c>
      <c r="V77" s="3" t="inlineStr">
        <is>
          <t>握力</t>
        </is>
      </c>
      <c r="X77" s="3" t="inlineStr">
        <is>
          <t>立ち上がりテスト, 2ステップテスト</t>
        </is>
      </c>
      <c r="Z77" s="3" t="inlineStr">
        <is>
          <t>FIM</t>
        </is>
      </c>
      <c r="AB77" s="3" t="inlineStr">
        <is>
          <t>HDS-R</t>
        </is>
      </c>
      <c r="AD77" s="3" t="inlineStr">
        <is>
          <t>TUG, 10m歩行速度, Berg Balance Scale（BBS）</t>
        </is>
      </c>
      <c r="AF77" s="3" t="inlineStr">
        <is>
          <t>決まっていない</t>
        </is>
      </c>
      <c r="AI77" s="3" t="inlineStr">
        <is>
          <t>下肢筋力強化, バランス練習, 歩行練習, 歩容改善, 起立、着座動作練習, 環境調整, 補助具、装具の適正化, 認知面への介入, 行動面への介入, 教育、指導</t>
        </is>
      </c>
    </row>
    <row r="78" ht="22.5" customHeight="1">
      <c r="A78" s="32" t="n">
        <v>46091.74024521991</v>
      </c>
      <c r="B78" s="3" t="inlineStr">
        <is>
          <t>中村章喜</t>
        </is>
      </c>
      <c r="C78" s="3" t="inlineStr">
        <is>
          <t>名鉄病院</t>
        </is>
      </c>
      <c r="D78" s="3" t="inlineStr">
        <is>
          <t>岐阜県</t>
        </is>
      </c>
      <c r="E78" s="3" t="inlineStr">
        <is>
          <t>akiyochi0922@gmail.com</t>
        </is>
      </c>
      <c r="F78" s="3" t="inlineStr">
        <is>
          <t>リハビリテーション科　理学療法士</t>
        </is>
      </c>
      <c r="G78" s="3" t="n">
        <v>92</v>
      </c>
      <c r="H78" s="3" t="n">
        <v>5</v>
      </c>
      <c r="I78" s="3" t="n">
        <v>6</v>
      </c>
      <c r="J78" s="3" t="inlineStr">
        <is>
          <t>届け出をしておらず、検討もしていない</t>
        </is>
      </c>
      <c r="K78" s="3" t="inlineStr">
        <is>
          <t>実施していない</t>
        </is>
      </c>
      <c r="L78" s="3" t="inlineStr">
        <is>
          <t>全症例の25％〜49％程度</t>
        </is>
      </c>
      <c r="N78" s="3" t="inlineStr">
        <is>
          <t>全症例の25％〜49％程度</t>
        </is>
      </c>
      <c r="P78" s="3" t="inlineStr">
        <is>
          <t>全症例の0％〜24％程度</t>
        </is>
      </c>
      <c r="R78" s="3" t="inlineStr">
        <is>
          <t>全症例の0％〜24％程度</t>
        </is>
      </c>
      <c r="T78" s="3" t="inlineStr">
        <is>
          <t>5回椅子立ち上がりテスト, SPPB, TUG</t>
        </is>
      </c>
      <c r="V78" s="3" t="inlineStr">
        <is>
          <t>TUG, 握力, SPPB、歩行速度、FRT、立ち上がりテスト</t>
        </is>
      </c>
      <c r="X78" s="3" t="inlineStr">
        <is>
          <t>立ち上がりテスト</t>
        </is>
      </c>
      <c r="Z78" s="3" t="inlineStr">
        <is>
          <t>Barthel Index（BI）, FIM</t>
        </is>
      </c>
      <c r="AB78" s="3" t="inlineStr">
        <is>
          <t>MMSE, HDS-R</t>
        </is>
      </c>
      <c r="AD78" s="3" t="inlineStr">
        <is>
          <t>実施していない</t>
        </is>
      </c>
      <c r="AE78" s="3" t="inlineStr">
        <is>
          <t>組織的活動を実施していない。存じあげなかった。</t>
        </is>
      </c>
      <c r="AF78" s="3" t="inlineStr">
        <is>
          <t>わからない</t>
        </is>
      </c>
      <c r="AI78" s="3" t="inlineStr">
        <is>
          <t>下肢筋力強化, バランス練習, 歩行練習</t>
        </is>
      </c>
    </row>
    <row r="79" ht="22.5" customHeight="1">
      <c r="A79" s="32" t="n">
        <v>46091.77159070602</v>
      </c>
      <c r="B79" s="3" t="inlineStr">
        <is>
          <t>小寺　一寿</t>
        </is>
      </c>
      <c r="C79" s="3" t="inlineStr">
        <is>
          <t>社会医療法人　杏嶺会　一宮西病院</t>
        </is>
      </c>
      <c r="D79" s="3" t="inlineStr">
        <is>
          <t>愛知県</t>
        </is>
      </c>
      <c r="E79" s="3" t="inlineStr">
        <is>
          <t>a-takahashi@anzu.or.jp</t>
        </is>
      </c>
      <c r="F79" s="3" t="inlineStr">
        <is>
          <t>リハビリテーション技術部/理学療法士</t>
        </is>
      </c>
      <c r="G79" s="3" t="n">
        <v>410</v>
      </c>
      <c r="H79" s="3" t="n">
        <v>28</v>
      </c>
      <c r="I79" s="3" t="n">
        <v>3</v>
      </c>
      <c r="J79" s="3" t="inlineStr">
        <is>
          <t>届け出はしているが、算定していない</t>
        </is>
      </c>
      <c r="K79" s="3" t="inlineStr">
        <is>
          <t>関節可動域運動, 筋力増強運動, DVT予防, リラクセーション, ポジショニング, 自主運動指導, 術後リハビリテーションのオリエンテーション</t>
        </is>
      </c>
      <c r="L79" s="3" t="inlineStr">
        <is>
          <t>全症例の25％〜49％程度</t>
        </is>
      </c>
      <c r="N79" s="3" t="inlineStr">
        <is>
          <t>全症例の0％〜24％程度</t>
        </is>
      </c>
      <c r="P79" s="3" t="inlineStr">
        <is>
          <t>全症例の0％〜24％程度</t>
        </is>
      </c>
      <c r="R79" s="3" t="inlineStr">
        <is>
          <t>全症例の0％〜24％程度</t>
        </is>
      </c>
      <c r="T79" s="3" t="inlineStr">
        <is>
          <t>握力, 下腿周径</t>
        </is>
      </c>
      <c r="V79" s="3" t="inlineStr">
        <is>
          <t>認知機能, 握力</t>
        </is>
      </c>
      <c r="X79" s="3" t="inlineStr">
        <is>
          <t>実施していない</t>
        </is>
      </c>
      <c r="Z79" s="3" t="inlineStr">
        <is>
          <t>Barthel Index（BI）, FIM</t>
        </is>
      </c>
      <c r="AB79" s="3" t="inlineStr">
        <is>
          <t>HDS-R, AMTS</t>
        </is>
      </c>
      <c r="AD79" s="3" t="inlineStr">
        <is>
          <t>認知機能, 既往疾患の有無（脳血管疾患、パーキンソン病など）</t>
        </is>
      </c>
      <c r="AF79" s="3" t="inlineStr">
        <is>
          <t>決まっていない</t>
        </is>
      </c>
      <c r="AI79" s="3" t="inlineStr">
        <is>
          <t>下肢筋力強化, バランス練習, 歩行練習, 歩容改善, 起立、着座動作練習, 環境調整, 補助具、装具の適正化, 認知面への介入, 教育、指導</t>
        </is>
      </c>
    </row>
    <row r="80" ht="22.5" customHeight="1">
      <c r="A80" s="32" t="n">
        <v>46091.96751252315</v>
      </c>
      <c r="B80" s="3" t="inlineStr">
        <is>
          <t>鈴木　悠太</t>
        </is>
      </c>
      <c r="C80" s="3" t="inlineStr">
        <is>
          <t>石巻市立病院</t>
        </is>
      </c>
      <c r="D80" s="3" t="inlineStr">
        <is>
          <t>宮城県</t>
        </is>
      </c>
      <c r="E80" s="3" t="inlineStr">
        <is>
          <t>rehabili@ishinomaki-city-hospital.jp</t>
        </is>
      </c>
      <c r="F80" s="3" t="inlineStr">
        <is>
          <t>リハビリテーション科/理学療法士</t>
        </is>
      </c>
      <c r="G80" s="3" t="n">
        <v>90</v>
      </c>
      <c r="H80" s="3" t="n">
        <v>9</v>
      </c>
      <c r="I80" s="3" t="n">
        <v>4</v>
      </c>
      <c r="J80" s="3" t="inlineStr">
        <is>
          <t>届け出をしておらず、検討もしていない</t>
        </is>
      </c>
      <c r="K80" s="3" t="inlineStr">
        <is>
          <t>関節可動域運動, 筋力増強運動, DVT予防, 自主運動指導, 術後リハビリテーションのオリエンテーション, 離床（例：車椅子移乗,立位,歩行など）</t>
        </is>
      </c>
      <c r="L80" s="3" t="inlineStr">
        <is>
          <t>全症例の25％〜49％程度</t>
        </is>
      </c>
      <c r="N80" s="3" t="inlineStr">
        <is>
          <t>全症例の0％〜24％程度</t>
        </is>
      </c>
      <c r="P80" s="3" t="inlineStr">
        <is>
          <t>全症例の0％〜24％程度</t>
        </is>
      </c>
      <c r="R80" s="3" t="inlineStr">
        <is>
          <t>全症例の0％〜24％程度</t>
        </is>
      </c>
      <c r="T80" s="3" t="inlineStr">
        <is>
          <t>握力, 膝伸展筋力, 歩行速度, TUG, 6分間歩行距離, 開眼片脚立位時間</t>
        </is>
      </c>
      <c r="V80" s="3" t="inlineStr">
        <is>
          <t>TUG, 6分間歩行距離, 認知機能, 握力</t>
        </is>
      </c>
      <c r="X80" s="3" t="inlineStr">
        <is>
          <t>実施していない</t>
        </is>
      </c>
      <c r="Y80" s="3" t="inlineStr">
        <is>
          <t>特になし</t>
        </is>
      </c>
      <c r="Z80" s="3" t="inlineStr">
        <is>
          <t>Barthel Index（BI）, FIM</t>
        </is>
      </c>
      <c r="AB80" s="3" t="inlineStr">
        <is>
          <t>MMSE, HDS-R, AMTS</t>
        </is>
      </c>
      <c r="AD80" s="3" t="inlineStr">
        <is>
          <t>定量的な下肢筋力測定, 開眼片脚立位時間, TUG, 10m歩行速度, Berg Balance Scale（BBS）, SPPB、Functional Reach Test（FRT）, 深部感覚評価, 認知機能, 転倒恐怖感, 過去の転倒歴, 既往疾患の有無（脳血管疾患、パーキンソン病など）, 薬剤（向精神薬、降圧薬、利尿薬、ポリファーマシーなど）, ベッド周囲および病室環境</t>
        </is>
      </c>
      <c r="AF80" s="3" t="inlineStr">
        <is>
          <t>決まっていない</t>
        </is>
      </c>
      <c r="AH80" s="3" t="inlineStr">
        <is>
          <t>特になし</t>
        </is>
      </c>
      <c r="AI80" s="3" t="inlineStr">
        <is>
          <t>下肢筋力強化, バランス練習, 歩行練習, 歩容改善, 起立、着座動作練習, 環境調整, 補助具、装具の適正化, 薬剤調整, 教育、指導</t>
        </is>
      </c>
    </row>
    <row r="81" ht="22.5" customHeight="1">
      <c r="A81" s="32" t="n">
        <v>46092.46224650463</v>
      </c>
      <c r="B81" s="3" t="inlineStr">
        <is>
          <t>石井　光治</t>
        </is>
      </c>
      <c r="C81" s="3" t="inlineStr">
        <is>
          <t>静岡済生会総合病院</t>
        </is>
      </c>
      <c r="D81" s="3" t="inlineStr">
        <is>
          <t>静岡県</t>
        </is>
      </c>
      <c r="E81" s="3" t="inlineStr">
        <is>
          <t>iryohisho@siz.saiseikai.or.jp</t>
        </is>
      </c>
      <c r="F81" s="3" t="inlineStr">
        <is>
          <t>リハビリテーション科／理学療法士</t>
        </is>
      </c>
      <c r="G81" s="3" t="n">
        <v>233</v>
      </c>
      <c r="H81" s="3" t="n">
        <v>29</v>
      </c>
      <c r="I81" s="3" t="n">
        <v>11</v>
      </c>
      <c r="J81" s="3" t="inlineStr">
        <is>
          <t>現在、算定している</t>
        </is>
      </c>
      <c r="K81" s="3" t="inlineStr">
        <is>
          <t>DVT予防, ポジショニング, 自主運動指導, 術後リハビリテーションのオリエンテーション, 全身状態評価</t>
        </is>
      </c>
      <c r="L81" s="3" t="inlineStr">
        <is>
          <t>全症例の75％〜100％程度</t>
        </is>
      </c>
      <c r="M81" s="3" t="inlineStr">
        <is>
          <t>現在統一した対策はとっていない。まずは、クリニカルパスのアウトカム項目を変更し、術翌日立位ができなかった原因のより正確な情報をとれるような体制を整備しているところである。今後、その情報をもとにクリニカルパスなどを活用して疼痛コントロールをはかり術翌日の離床の促進をはかっていきたいと考えている。</t>
        </is>
      </c>
      <c r="N81" s="3" t="inlineStr">
        <is>
          <t>全症例の0％〜24％程度</t>
        </is>
      </c>
      <c r="P81" s="3" t="inlineStr">
        <is>
          <t>全症例の0％〜24％程度</t>
        </is>
      </c>
      <c r="R81" s="3" t="inlineStr">
        <is>
          <t>全症例の0％〜24％程度</t>
        </is>
      </c>
      <c r="T81" s="3" t="inlineStr">
        <is>
          <t>握力, 膝伸展筋力</t>
        </is>
      </c>
      <c r="V81" s="3" t="inlineStr">
        <is>
          <t>認知機能, 握力</t>
        </is>
      </c>
      <c r="X81" s="3" t="inlineStr">
        <is>
          <t>実施していない</t>
        </is>
      </c>
      <c r="Y81" s="3" t="inlineStr">
        <is>
          <t>術後当院入院期間中では、パフォーマンステストが実施困難な機能・ADLの方がほとんどである</t>
        </is>
      </c>
      <c r="Z81" s="3" t="inlineStr">
        <is>
          <t>Barthel Index（BI）</t>
        </is>
      </c>
      <c r="AB81" s="3" t="inlineStr">
        <is>
          <t>MMSE, HDS-R</t>
        </is>
      </c>
      <c r="AD81" s="3" t="inlineStr">
        <is>
          <t>実施していない</t>
        </is>
      </c>
      <c r="AE81" s="3" t="inlineStr">
        <is>
          <t>各担当療法士が患者の状態やADLに合わせて適宜転倒リスク評価を行っていました。</t>
        </is>
      </c>
      <c r="AI81" s="3" t="inlineStr">
        <is>
          <t>下肢筋力強化, バランス練習, 歩行練習, 歩容改善, 起立、着座動作練習, 環境調整, 補助具、装具の適正化</t>
        </is>
      </c>
    </row>
    <row r="82" ht="22.5" customHeight="1">
      <c r="A82" s="32" t="n">
        <v>46092.502575</v>
      </c>
      <c r="B82" s="3" t="inlineStr">
        <is>
          <t>江崎　千織</t>
        </is>
      </c>
      <c r="C82" s="3" t="inlineStr">
        <is>
          <t>独立行政法人労働者健康安全機構　香川労災病院</t>
        </is>
      </c>
      <c r="D82" s="3" t="inlineStr">
        <is>
          <t>香川県</t>
        </is>
      </c>
      <c r="E82" s="3" t="inlineStr">
        <is>
          <t>reha@kagawah.johas.go.jp</t>
        </is>
      </c>
      <c r="F82" s="3" t="inlineStr">
        <is>
          <t>森本　勝哉</t>
        </is>
      </c>
      <c r="G82" s="3" t="n">
        <v>86</v>
      </c>
      <c r="H82" s="3" t="n">
        <v>3</v>
      </c>
      <c r="I82" s="3" t="n">
        <v>0</v>
      </c>
      <c r="J82" s="3" t="inlineStr">
        <is>
          <t>届け出はしていないが、現在検討中である</t>
        </is>
      </c>
      <c r="K82" s="3" t="inlineStr">
        <is>
          <t>関節可動域運動, 筋力増強運動, 呼吸リハビリテーション, DVT予防, リラクセーション, ポジショニング, 自主運動指導, 術後リハビリテーションのオリエンテーション, 離床（例：車椅子移乗,立位,歩行など）</t>
        </is>
      </c>
      <c r="L82" s="3" t="inlineStr">
        <is>
          <t>全症例の50％〜74％程度</t>
        </is>
      </c>
      <c r="M82" s="3" t="inlineStr">
        <is>
          <t>内服調整、リハビリ時間調整、愛護的ROM-ex、アイシング</t>
        </is>
      </c>
      <c r="N82" s="3" t="inlineStr">
        <is>
          <t>全症例の25％〜49％程度</t>
        </is>
      </c>
      <c r="P82" s="3" t="inlineStr">
        <is>
          <t>全症例の25％〜49％程度</t>
        </is>
      </c>
      <c r="R82" s="3" t="inlineStr">
        <is>
          <t>全症例の0％〜24％程度</t>
        </is>
      </c>
      <c r="T82" s="3" t="inlineStr">
        <is>
          <t>握力, 膝伸展筋力, 歩行速度, TUG, 開眼片脚立位時間, 下腿周径</t>
        </is>
      </c>
      <c r="V82" s="3" t="inlineStr">
        <is>
          <t>TUG, 認知機能, 握力</t>
        </is>
      </c>
      <c r="X82" s="3" t="inlineStr">
        <is>
          <t>立ち上がりテスト, 2ステップテスト, ロコモ25（質問票）</t>
        </is>
      </c>
      <c r="Z82" s="3" t="inlineStr">
        <is>
          <t>Barthel Index（BI）</t>
        </is>
      </c>
      <c r="AB82" s="3" t="inlineStr">
        <is>
          <t>AMTS</t>
        </is>
      </c>
      <c r="AD82" s="3" t="inlineStr">
        <is>
          <t>開眼片脚立位時間, Berg Balance Scale（BBS）, 深部感覚評価, 認知機能, 過去の転倒歴, 既往疾患の有無（脳血管疾患、パーキンソン病など）, ベッド周囲および病室環境</t>
        </is>
      </c>
      <c r="AF82" s="3" t="inlineStr">
        <is>
          <t>決まっていない</t>
        </is>
      </c>
      <c r="AH82" s="3" t="inlineStr">
        <is>
          <t>術後せん妄等あり、患者一人一人に応じて実施。できるだけ長期評価を心がけている。</t>
        </is>
      </c>
      <c r="AI82" s="3" t="inlineStr">
        <is>
          <t>下肢筋力強化, バランス練習, 歩行練習, 歩容改善, 起立、着座動作練習, 環境調整, 補助具、装具の適正化, 認知面への介入, 教育、指導</t>
        </is>
      </c>
    </row>
    <row r="83" ht="22.5" customHeight="1">
      <c r="A83" s="32" t="n">
        <v>46092.5615683912</v>
      </c>
      <c r="B83" s="3" t="inlineStr">
        <is>
          <t>三木　哲郎</t>
        </is>
      </c>
      <c r="C83" s="3" t="inlineStr">
        <is>
          <t>医療法人住友別子病院</t>
        </is>
      </c>
      <c r="D83" s="3" t="inlineStr">
        <is>
          <t>愛媛県</t>
        </is>
      </c>
      <c r="E83" s="3" t="inlineStr">
        <is>
          <t>tetsuro_miki@ni.sbh.gr.jp</t>
        </is>
      </c>
      <c r="F83" s="3" t="inlineStr">
        <is>
          <t>リハビリテーション部</t>
        </is>
      </c>
      <c r="G83" s="3" t="n">
        <v>211</v>
      </c>
      <c r="H83" s="3" t="n">
        <v>27</v>
      </c>
      <c r="I83" s="3" t="n">
        <v>13</v>
      </c>
      <c r="J83" s="3" t="inlineStr">
        <is>
          <t>届け出をしておらず、検討もしていない</t>
        </is>
      </c>
      <c r="K83" s="3" t="inlineStr">
        <is>
          <t>関節可動域運動, 筋力増強運動, DVT予防, ポジショニング</t>
        </is>
      </c>
      <c r="L83" s="3" t="inlineStr">
        <is>
          <t>全症例の75％〜100％程度</t>
        </is>
      </c>
      <c r="M83" s="3" t="inlineStr">
        <is>
          <t>痛みが少なくなるような動作指導・介助方法の実施</t>
        </is>
      </c>
      <c r="N83" s="3" t="inlineStr">
        <is>
          <t>全症例の0％〜24％程度</t>
        </is>
      </c>
      <c r="P83" s="3" t="inlineStr">
        <is>
          <t>全症例の0％〜24％程度</t>
        </is>
      </c>
      <c r="R83" s="3" t="inlineStr">
        <is>
          <t>全症例の0％〜24％程度</t>
        </is>
      </c>
      <c r="T83" s="3" t="inlineStr">
        <is>
          <t>握力, 膝伸展筋力, 5回椅子立ち上がりテスト, 歩行速度, TUG, 6分間歩行距離, 開眼片脚立位時間, 骨格筋量指数（SMI）</t>
        </is>
      </c>
      <c r="V83" s="3" t="inlineStr">
        <is>
          <t>TUG, 6分間歩行距離, 握力</t>
        </is>
      </c>
      <c r="X83" s="3" t="inlineStr">
        <is>
          <t>立ち上がりテスト, 2ステップテスト, ロコモ25（質問票）</t>
        </is>
      </c>
      <c r="Z83" s="3" t="inlineStr">
        <is>
          <t>Barthel Index（BI）, FIM</t>
        </is>
      </c>
      <c r="AB83" s="3" t="inlineStr">
        <is>
          <t>MMSE, HDS-R, CBA</t>
        </is>
      </c>
      <c r="AD83" s="3" t="inlineStr">
        <is>
          <t>定量的な下肢筋力測定, 開眼片脚立位時間, TUG, 10m歩行速度, 5回椅子立ち上がりテスト, 過去の転倒歴, 既往疾患の有無（脳血管疾患、パーキンソン病など）, 薬剤（向精神薬、降圧薬、利尿薬、ポリファーマシーなど）, ベッド周囲および病室環境</t>
        </is>
      </c>
      <c r="AF83" s="3" t="inlineStr">
        <is>
          <t>決まっていない</t>
        </is>
      </c>
      <c r="AH83" s="3" t="inlineStr">
        <is>
          <t>荷重制限・患者の歩行獲得時期の差のため</t>
        </is>
      </c>
      <c r="AI83" s="3" t="inlineStr">
        <is>
          <t>下肢筋力強化, バランス練習, 歩行練習, 歩容改善, 起立、着座動作練習, 環境調整, 補助具、装具の適正化, 認知面への介入, 教育、指導</t>
        </is>
      </c>
    </row>
    <row r="84" ht="22.5" customHeight="1">
      <c r="A84" s="32" t="n">
        <v>46092.61727921297</v>
      </c>
      <c r="B84" s="3" t="inlineStr">
        <is>
          <t>井川晃一</t>
        </is>
      </c>
      <c r="C84" s="3" t="inlineStr">
        <is>
          <t>社会医療法人　石川記念会　HITO病院</t>
        </is>
      </c>
      <c r="D84" s="3" t="inlineStr">
        <is>
          <t>愛媛県</t>
        </is>
      </c>
      <c r="E84" s="3" t="inlineStr">
        <is>
          <t>ikawa.kouichi@hito-medical.net</t>
        </is>
      </c>
      <c r="F84" s="3" t="inlineStr">
        <is>
          <t>理学療法士</t>
        </is>
      </c>
      <c r="G84" s="3" t="n">
        <v>119</v>
      </c>
      <c r="H84" s="3" t="n">
        <v>25</v>
      </c>
      <c r="I84" s="3" t="n">
        <v>17</v>
      </c>
      <c r="J84" s="3" t="inlineStr">
        <is>
          <t>現在、算定している</t>
        </is>
      </c>
      <c r="K84" s="3" t="inlineStr">
        <is>
          <t>関節可動域運動, 筋力増強運動, 呼吸リハビリテーション, DVT予防, ポジショニング, 自主運動指導, 離床（例：車椅子移乗,立位,歩行など）</t>
        </is>
      </c>
      <c r="L84" s="3" t="inlineStr">
        <is>
          <t>全症例の0％〜24％程度</t>
        </is>
      </c>
      <c r="N84" s="3" t="inlineStr">
        <is>
          <t>全症例の0％〜24％程度</t>
        </is>
      </c>
      <c r="P84" s="3" t="inlineStr">
        <is>
          <t>全症例の0％〜24％程度</t>
        </is>
      </c>
      <c r="R84" s="3" t="inlineStr">
        <is>
          <t>全症例の0％〜24％程度</t>
        </is>
      </c>
      <c r="T84" s="3" t="inlineStr">
        <is>
          <t>実施していない</t>
        </is>
      </c>
      <c r="U84" s="3" t="inlineStr">
        <is>
          <t>実施いている項目はあるが、サルコペ二アの評価を目的としては行っていない。何故していないか、理由としては無いです。見直し予定ではあります。</t>
        </is>
      </c>
      <c r="V84" s="3" t="inlineStr">
        <is>
          <t>実施していない</t>
        </is>
      </c>
      <c r="W84" s="3" t="inlineStr">
        <is>
          <t>実施いている項目はあるが、フレイルの評価を目的としては行っていない。何故していないか、理由としては無いです。見直し予定ではあります。</t>
        </is>
      </c>
      <c r="X84" s="3" t="inlineStr">
        <is>
          <t>実施していない</t>
        </is>
      </c>
      <c r="Y84" s="3" t="inlineStr">
        <is>
          <t>健康教室などでは行っているが、入院患者に実施していない。特に理由はない。</t>
        </is>
      </c>
      <c r="Z84" s="3" t="inlineStr">
        <is>
          <t>Barthel Index（BI）, FIM</t>
        </is>
      </c>
      <c r="AB84" s="3" t="inlineStr">
        <is>
          <t>HDS-R</t>
        </is>
      </c>
      <c r="AD84" s="3" t="inlineStr">
        <is>
          <t>定量的な下肢筋力測定, 10m歩行速度, 5回椅子立ち上がりテスト</t>
        </is>
      </c>
      <c r="AF84" s="3" t="inlineStr">
        <is>
          <t>決まっている</t>
        </is>
      </c>
      <c r="AG84" s="3" t="inlineStr">
        <is>
          <t>1週間毎　退院時</t>
        </is>
      </c>
      <c r="AI84" s="3" t="inlineStr">
        <is>
          <t>下肢筋力強化, バランス練習, 歩行練習, 起立、着座動作練習, 環境調整, 認知面への介入, 薬剤調整, 教育、指導</t>
        </is>
      </c>
    </row>
    <row r="85" ht="22.5" customHeight="1">
      <c r="A85" s="32" t="n">
        <v>46092.74359490741</v>
      </c>
      <c r="B85" s="3" t="inlineStr">
        <is>
          <t>理学療法士　篠原晶子</t>
        </is>
      </c>
      <c r="C85" s="3" t="inlineStr">
        <is>
          <t>重工記念長崎病院</t>
        </is>
      </c>
      <c r="D85" s="3" t="inlineStr">
        <is>
          <t>長崎県</t>
        </is>
      </c>
      <c r="E85" s="3" t="inlineStr">
        <is>
          <t>akiko_shinohara@jmnh.or.jp</t>
        </is>
      </c>
      <c r="F85" s="3" t="inlineStr">
        <is>
          <t>リハビリテーション科</t>
        </is>
      </c>
      <c r="G85" s="3" t="n">
        <v>65</v>
      </c>
      <c r="H85" s="3" t="n">
        <v>18</v>
      </c>
      <c r="I85" s="3" t="n">
        <v>6</v>
      </c>
      <c r="J85" s="3" t="inlineStr">
        <is>
          <t>届け出をしておらず、検討もしていない</t>
        </is>
      </c>
      <c r="K85" s="3" t="inlineStr">
        <is>
          <t>関節可動域運動, 筋力増強運動, DVT予防, リラクセーション, ポジショニング, 自主運動指導, 術後リハビリテーションのオリエンテーション, 離床（例：車椅子移乗,立位,歩行など）</t>
        </is>
      </c>
      <c r="L85" s="3" t="inlineStr">
        <is>
          <t>全症例の25％〜49％程度</t>
        </is>
      </c>
      <c r="N85" s="3" t="inlineStr">
        <is>
          <t>全症例の25％〜49％程度</t>
        </is>
      </c>
      <c r="P85" s="3" t="inlineStr">
        <is>
          <t>全症例の0％〜24％程度</t>
        </is>
      </c>
      <c r="R85" s="3" t="inlineStr">
        <is>
          <t>全症例の0％〜24％程度</t>
        </is>
      </c>
      <c r="T85" s="3" t="inlineStr">
        <is>
          <t>握力, 5回椅子立ち上がりテスト, 歩行速度, 6分間歩行距離, 開眼片脚立位時間, 下腿周径, SARC-F</t>
        </is>
      </c>
      <c r="V85" s="3" t="inlineStr">
        <is>
          <t>握力</t>
        </is>
      </c>
      <c r="X85" s="3" t="inlineStr">
        <is>
          <t>立ち上がりテスト</t>
        </is>
      </c>
      <c r="Z85" s="3" t="inlineStr">
        <is>
          <t>FIM</t>
        </is>
      </c>
      <c r="AB85" s="3" t="inlineStr">
        <is>
          <t>MMSE, HDS-R</t>
        </is>
      </c>
      <c r="AD85" s="3" t="inlineStr">
        <is>
          <t>定量的な下肢筋力測定, 開眼片脚立位時間, 10m歩行速度, 5回椅子立ち上がりテスト</t>
        </is>
      </c>
      <c r="AF85" s="3" t="inlineStr">
        <is>
          <t>決まっている</t>
        </is>
      </c>
      <c r="AG85" s="3" t="inlineStr">
        <is>
          <t>１週間以内</t>
        </is>
      </c>
      <c r="AI85" s="3" t="inlineStr">
        <is>
          <t>下肢筋力強化, バランス練習, 歩行練習, 歩容改善, 起立、着座動作練習, 環境調整, 補助具、装具の適正化, 認知面への介入, 行動面への介入, 薬剤調整, 教育、指導</t>
        </is>
      </c>
    </row>
    <row r="86" ht="22.5" customHeight="1">
      <c r="A86" s="32" t="n">
        <v>46093.36349690973</v>
      </c>
      <c r="B86" s="3" t="inlineStr">
        <is>
          <t>清水　幸平</t>
        </is>
      </c>
      <c r="C86" s="3" t="inlineStr">
        <is>
          <t>独立行政法人山梨県立病院機構山梨県立中央病院</t>
        </is>
      </c>
      <c r="D86" s="3" t="inlineStr">
        <is>
          <t>山梨県</t>
        </is>
      </c>
      <c r="E86" s="3" t="inlineStr">
        <is>
          <t>ariura-ggdpi@ych.pref.yamanashi.jp</t>
        </is>
      </c>
      <c r="F86" s="3" t="inlineStr">
        <is>
          <t>リハビリテーションセンター　理学療法学科　理学療法士</t>
        </is>
      </c>
      <c r="G86" s="3" t="n">
        <v>130</v>
      </c>
      <c r="H86" s="3" t="n">
        <v>15</v>
      </c>
      <c r="I86" s="3" t="n">
        <v>3</v>
      </c>
      <c r="J86" s="3" t="inlineStr">
        <is>
          <t>届け出をしておらず、検討もしていない</t>
        </is>
      </c>
      <c r="K86" s="3" t="inlineStr">
        <is>
          <t>関節可動域運動, 筋力増強運動, DVT予防, リラクセーション, ポジショニング, 自主運動指導, 術後リハビリテーションのオリエンテーション, 離床（例：車椅子移乗,立位,歩行など）</t>
        </is>
      </c>
      <c r="L86" s="3" t="inlineStr">
        <is>
          <t>全症例の25％〜49％程度</t>
        </is>
      </c>
      <c r="N86" s="3" t="inlineStr">
        <is>
          <t>全症例の0％〜24％程度</t>
        </is>
      </c>
      <c r="P86" s="3" t="inlineStr">
        <is>
          <t>全症例の0％〜24％程度</t>
        </is>
      </c>
      <c r="R86" s="3" t="inlineStr">
        <is>
          <t>全症例の0％〜24％程度</t>
        </is>
      </c>
      <c r="T86" s="3" t="inlineStr">
        <is>
          <t>実施していない</t>
        </is>
      </c>
      <c r="U86" s="3" t="inlineStr">
        <is>
          <t>理学療法士または作業療法士がサルコペニアの評価を目的に評価は実施していない</t>
        </is>
      </c>
      <c r="V86" s="3" t="inlineStr">
        <is>
          <t>認知機能, 握力</t>
        </is>
      </c>
      <c r="X86" s="3" t="inlineStr">
        <is>
          <t xml:space="preserve">実施していない, </t>
        </is>
      </c>
      <c r="Y86" s="3" t="inlineStr">
        <is>
          <t>理学療法士または作業療法士がロコモティブシンドロームの評価を目的に評価は実施していない</t>
        </is>
      </c>
      <c r="Z86" s="3" t="inlineStr">
        <is>
          <t>Barthel Index（BI）, FIM</t>
        </is>
      </c>
      <c r="AB86" s="3" t="inlineStr">
        <is>
          <t>MMSE, HDS-R</t>
        </is>
      </c>
      <c r="AD86" s="3" t="inlineStr">
        <is>
          <t>Berg Balance Scale（BBS）, SPPB、Functional Reach Test（FRT）, 5回椅子立ち上がりテスト, 認知機能, 注意障害, 遂行機能, せん妄, 転倒恐怖感, 過去の転倒歴, ベッド周囲および病室環境</t>
        </is>
      </c>
      <c r="AF86" s="3" t="inlineStr">
        <is>
          <t>決まっていない</t>
        </is>
      </c>
      <c r="AH86" s="3" t="inlineStr">
        <is>
          <t>なるべく初回介入時に評価をしているが、明確にいつ評価を行うかは決まっていない</t>
        </is>
      </c>
      <c r="AI86" s="3" t="inlineStr">
        <is>
          <t>下肢筋力強化, バランス練習, 歩行練習, 歩容改善, 起立、着座動作練習, 環境調整, 補助具、装具の適正化, 認知面への介入, 実施していない</t>
        </is>
      </c>
    </row>
    <row r="87" ht="22.5" customHeight="1">
      <c r="A87" s="32" t="n">
        <v>46093.39117532408</v>
      </c>
      <c r="B87" s="3" t="inlineStr">
        <is>
          <t>喜古　理道</t>
        </is>
      </c>
      <c r="C87" s="3" t="inlineStr">
        <is>
          <t>公益財団法人　湯浅報恩会　寿泉堂綜合病院</t>
        </is>
      </c>
      <c r="D87" s="3" t="inlineStr">
        <is>
          <t>福島県</t>
        </is>
      </c>
      <c r="E87" s="3" t="inlineStr">
        <is>
          <t>rehabili@jusendo.or.jp</t>
        </is>
      </c>
      <c r="F87" s="3" t="inlineStr">
        <is>
          <t>リハビリテーション科／理学療法士</t>
        </is>
      </c>
      <c r="G87" s="3" t="n">
        <v>136</v>
      </c>
      <c r="H87" s="3" t="n">
        <v>13</v>
      </c>
      <c r="I87" s="3" t="n">
        <v>8</v>
      </c>
      <c r="J87" s="3" t="inlineStr">
        <is>
          <t>現在、算定している</t>
        </is>
      </c>
      <c r="K87" s="3" t="inlineStr">
        <is>
          <t>関節可動域運動, 筋力増強運動, 呼吸リハビリテーション, DVT予防, リラクセーション, ポジショニング, 自主運動指導, 術後リハビリテーションのオリエンテーション, 離床（例：車椅子移乗,立位,歩行など）</t>
        </is>
      </c>
      <c r="L87" s="3" t="inlineStr">
        <is>
          <t>全症例の0％〜24％程度</t>
        </is>
      </c>
      <c r="N87" s="3" t="inlineStr">
        <is>
          <t>全症例の0％〜24％程度</t>
        </is>
      </c>
      <c r="P87" s="3" t="inlineStr">
        <is>
          <t>全症例の0％〜24％程度</t>
        </is>
      </c>
      <c r="R87" s="3" t="inlineStr">
        <is>
          <t>全症例の0％〜24％程度</t>
        </is>
      </c>
      <c r="T87" s="3" t="inlineStr">
        <is>
          <t>握力, 5回椅子立ち上がりテスト, 歩行速度, TUG, 開眼片脚立位時間</t>
        </is>
      </c>
      <c r="V87" s="3" t="inlineStr">
        <is>
          <t>J-CHS基準, TUG, 認知機能, 握力</t>
        </is>
      </c>
      <c r="X87" s="3" t="inlineStr">
        <is>
          <t>実施していない</t>
        </is>
      </c>
      <c r="Z87" s="3" t="inlineStr">
        <is>
          <t>Barthel Index（BI）, FIM</t>
        </is>
      </c>
      <c r="AB87" s="3" t="inlineStr">
        <is>
          <t>MMSE, HDS-R</t>
        </is>
      </c>
      <c r="AD87" s="3" t="inlineStr">
        <is>
          <t>開眼片脚立位時間, TUG, 10m歩行速度, 認知機能, 過去の転倒歴, 既往疾患の有無（脳血管疾患、パーキンソン病など）, 薬剤（向精神薬、降圧薬、利尿薬、ポリファーマシーなど）, ベッド周囲および病室環境</t>
        </is>
      </c>
      <c r="AF87" s="3" t="inlineStr">
        <is>
          <t>決まっていない</t>
        </is>
      </c>
      <c r="AI87" s="3" t="inlineStr">
        <is>
          <t>下肢筋力強化, バランス練習, 歩行練習, 歩容改善, 起立、着座動作練習, 環境調整, 補助具、装具の適正化, 認知面への介入, 行動面への介入, 薬剤調整, 教育、指導</t>
        </is>
      </c>
    </row>
    <row r="88" ht="22.5" customHeight="1">
      <c r="A88" s="32" t="n">
        <v>46093.4985780787</v>
      </c>
      <c r="B88" s="3" t="inlineStr">
        <is>
          <t>原田翔平</t>
        </is>
      </c>
      <c r="C88" s="3" t="inlineStr">
        <is>
          <t>上尾中央総合病院</t>
        </is>
      </c>
      <c r="D88" s="3" t="inlineStr">
        <is>
          <t>埼玉県</t>
        </is>
      </c>
      <c r="E88" s="3" t="inlineStr">
        <is>
          <t>harada.s@ach.or.jp</t>
        </is>
      </c>
      <c r="F88" s="3" t="inlineStr">
        <is>
          <t>リハビリテーション技術科/理学療法士</t>
        </is>
      </c>
      <c r="G88" s="3" t="n">
        <v>236</v>
      </c>
      <c r="H88" s="3" t="n">
        <v>23</v>
      </c>
      <c r="I88" s="3" t="n">
        <v>10</v>
      </c>
      <c r="J88" s="3" t="inlineStr">
        <is>
          <t>届け出をしておらず、検討もしていない</t>
        </is>
      </c>
      <c r="K88" s="3" t="inlineStr">
        <is>
          <t>関節可動域運動, 筋力増強運動, リラクセーション, 術後リハビリテーションのオリエンテーション, 離床（例：車椅子移乗,立位,歩行など）</t>
        </is>
      </c>
      <c r="L88" s="3" t="inlineStr">
        <is>
          <t>全症例の25％〜49％程度</t>
        </is>
      </c>
      <c r="N88" s="3" t="inlineStr">
        <is>
          <t>全症例の25％〜49％程度</t>
        </is>
      </c>
      <c r="P88" s="3" t="inlineStr">
        <is>
          <t>全症例の0％〜24％程度</t>
        </is>
      </c>
      <c r="R88" s="3" t="inlineStr">
        <is>
          <t>全症例の0％〜24％程度</t>
        </is>
      </c>
      <c r="T88" s="3" t="inlineStr">
        <is>
          <t>歩行速度, 開眼片脚立位時間</t>
        </is>
      </c>
      <c r="V88" s="3" t="inlineStr">
        <is>
          <t>認知機能</t>
        </is>
      </c>
      <c r="X88" s="3" t="inlineStr">
        <is>
          <t>実施していない</t>
        </is>
      </c>
      <c r="Z88" s="3" t="inlineStr">
        <is>
          <t>Barthel Index（BI）</t>
        </is>
      </c>
      <c r="AB88" s="3" t="inlineStr">
        <is>
          <t>MMSE</t>
        </is>
      </c>
      <c r="AD88" s="3" t="inlineStr">
        <is>
          <t>開眼片脚立位時間, 10m歩行速度, Berg Balance Scale（BBS）, 認知機能, せん妄, 既往疾患の有無（脳血管疾患、パーキンソン病など）</t>
        </is>
      </c>
      <c r="AF88" s="3" t="inlineStr">
        <is>
          <t>決まっている</t>
        </is>
      </c>
      <c r="AG88" s="3" t="inlineStr">
        <is>
          <t>7日目</t>
        </is>
      </c>
      <c r="AI88" s="3" t="inlineStr">
        <is>
          <t>下肢筋力強化, バランス練習, 歩行練習, 起立、着座動作練習, 環境調整, 補助具、装具の適正化, 認知面への介入, 教育、指導</t>
        </is>
      </c>
    </row>
    <row r="89" ht="22.5" customHeight="1">
      <c r="A89" s="32" t="n">
        <v>46093.51018778935</v>
      </c>
      <c r="B89" s="3" t="inlineStr">
        <is>
          <t>小泉康之</t>
        </is>
      </c>
      <c r="C89" s="3" t="inlineStr">
        <is>
          <t>いわき市医療センター</t>
        </is>
      </c>
      <c r="D89" s="3" t="inlineStr">
        <is>
          <t>福島県</t>
        </is>
      </c>
      <c r="E89" s="3" t="inlineStr">
        <is>
          <t>bnjbr577@yahoo.co.jp</t>
        </is>
      </c>
      <c r="G89" s="3" t="n">
        <v>280</v>
      </c>
      <c r="H89" s="3" t="n">
        <v>11</v>
      </c>
      <c r="I89" s="3" t="n">
        <v>4</v>
      </c>
      <c r="J89" s="3" t="inlineStr">
        <is>
          <t>届け出をしておらず、検討もしていない</t>
        </is>
      </c>
      <c r="K89" s="3" t="inlineStr">
        <is>
          <t>関節可動域運動, 筋力増強運動, DVT予防, リラクセーション, 離床（例：車椅子移乗,立位,歩行など）</t>
        </is>
      </c>
      <c r="L89" s="3" t="inlineStr">
        <is>
          <t>全症例の50％〜74％程度</t>
        </is>
      </c>
      <c r="M89" s="3" t="inlineStr">
        <is>
          <t>リラクゼーションや愛護的なROMを行い、疼痛を緩和させながら行う。</t>
        </is>
      </c>
      <c r="N89" s="3" t="inlineStr">
        <is>
          <t>全症例の25％〜49％程度</t>
        </is>
      </c>
      <c r="P89" s="3" t="inlineStr">
        <is>
          <t>全症例の0％〜24％程度</t>
        </is>
      </c>
      <c r="R89" s="3" t="inlineStr">
        <is>
          <t>全症例の0％〜24％程度</t>
        </is>
      </c>
      <c r="T89" s="3" t="inlineStr">
        <is>
          <t>SPPB</t>
        </is>
      </c>
      <c r="V89" s="3" t="inlineStr">
        <is>
          <t>認知機能</t>
        </is>
      </c>
      <c r="X89" s="3" t="inlineStr">
        <is>
          <t>実施していない</t>
        </is>
      </c>
      <c r="Y89" s="3" t="inlineStr">
        <is>
          <t>SPPBとある程度の相関性があると考えており、また急性期の患者様には適していないと考えているので。</t>
        </is>
      </c>
      <c r="Z89" s="3" t="inlineStr">
        <is>
          <t>Barthel Index（BI）</t>
        </is>
      </c>
      <c r="AB89" s="3" t="inlineStr">
        <is>
          <t>HDS-R</t>
        </is>
      </c>
      <c r="AD89" s="3" t="inlineStr">
        <is>
          <t>SPPB、Functional Reach Test（FRT）, 認知機能</t>
        </is>
      </c>
      <c r="AF89" s="3" t="inlineStr">
        <is>
          <t>決まっている</t>
        </is>
      </c>
      <c r="AG89" s="3" t="inlineStr">
        <is>
          <t>退院時、転院時、外来時</t>
        </is>
      </c>
      <c r="AI89" s="3" t="inlineStr">
        <is>
          <t>下肢筋力強化, バランス練習, 起立、着座動作練習, 教育、指導</t>
        </is>
      </c>
    </row>
    <row r="90" ht="22.5" customHeight="1">
      <c r="A90" s="32" t="n">
        <v>46093.52638153935</v>
      </c>
      <c r="B90" s="3" t="inlineStr">
        <is>
          <t>稲垣隼人</t>
        </is>
      </c>
      <c r="C90" s="3" t="inlineStr">
        <is>
          <t>市立伊勢総合病院</t>
        </is>
      </c>
      <c r="D90" s="3" t="inlineStr">
        <is>
          <t>三重県</t>
        </is>
      </c>
      <c r="E90" s="3" t="inlineStr">
        <is>
          <t>reha-pt@hospital.ise.mie.jp</t>
        </is>
      </c>
      <c r="F90" s="3" t="inlineStr">
        <is>
          <t>リハビリテーション室/理学療法士</t>
        </is>
      </c>
      <c r="G90" s="3" t="n">
        <v>169</v>
      </c>
      <c r="H90" s="3" t="n">
        <v>20</v>
      </c>
      <c r="I90" s="3" t="n">
        <v>4</v>
      </c>
      <c r="J90" s="3" t="inlineStr">
        <is>
          <t>届け出をしておらず、検討もしていない</t>
        </is>
      </c>
      <c r="K90" s="3" t="inlineStr">
        <is>
          <t>関節可動域運動, 筋力増強運動, 自主運動指導</t>
        </is>
      </c>
      <c r="L90" s="3" t="inlineStr">
        <is>
          <t>全症例の50％〜74％程度</t>
        </is>
      </c>
      <c r="M90" s="3" t="inlineStr">
        <is>
          <t>病棟Nrsへの自主トレーニング・離床の協力依頼</t>
        </is>
      </c>
      <c r="N90" s="3" t="inlineStr">
        <is>
          <t>全症例の25％〜49％程度</t>
        </is>
      </c>
      <c r="P90" s="3" t="inlineStr">
        <is>
          <t>全症例の0％〜24％程度</t>
        </is>
      </c>
      <c r="R90" s="3" t="inlineStr">
        <is>
          <t>全症例の0％〜24％程度</t>
        </is>
      </c>
      <c r="T90" s="3" t="inlineStr">
        <is>
          <t>握力, 膝伸展筋力, 歩行速度, TUG, 下腿周径, GNRI</t>
        </is>
      </c>
      <c r="V90" s="3" t="inlineStr">
        <is>
          <t>TUG, 認知機能, GNRI, 握力</t>
        </is>
      </c>
      <c r="X90" s="3" t="inlineStr">
        <is>
          <t>実施していない</t>
        </is>
      </c>
      <c r="Y90" s="3" t="inlineStr">
        <is>
          <t>特になし</t>
        </is>
      </c>
      <c r="Z90" s="3" t="inlineStr">
        <is>
          <t>Barthel Index（BI）, FIM</t>
        </is>
      </c>
      <c r="AB90" s="3" t="inlineStr">
        <is>
          <t>MMSE, MoCA</t>
        </is>
      </c>
      <c r="AD90" s="3" t="inlineStr">
        <is>
          <t>TUG, 10m歩行速度, SPPB、Functional Reach Test（FRT）, 認知機能, せん妄, 過去の転倒歴, 既往疾患の有無（脳血管疾患、パーキンソン病など）, 薬剤（向精神薬、降圧薬、利尿薬、ポリファーマシーなど）, ベッド周囲および病室環境</t>
        </is>
      </c>
      <c r="AF90" s="3" t="inlineStr">
        <is>
          <t>決まっている</t>
        </is>
      </c>
      <c r="AG90" s="3" t="inlineStr">
        <is>
          <t>翌日</t>
        </is>
      </c>
      <c r="AI90" s="3" t="inlineStr">
        <is>
          <t>下肢筋力強化, バランス練習, 歩行練習, 起立、着座動作練習, 環境調整, 補助具、装具の適正化, 教育、指導</t>
        </is>
      </c>
    </row>
    <row r="91" ht="22.5" customHeight="1">
      <c r="A91" s="32" t="n">
        <v>46093.57812211806</v>
      </c>
      <c r="B91" s="3" t="inlineStr">
        <is>
          <t>久保田　洋介</t>
        </is>
      </c>
      <c r="C91" s="3" t="inlineStr">
        <is>
          <t>みなと医療生活協同組合　協立総合病院</t>
        </is>
      </c>
      <c r="D91" s="3" t="inlineStr">
        <is>
          <t>愛知県</t>
        </is>
      </c>
      <c r="E91" s="3" t="inlineStr">
        <is>
          <t>kyouritu.riha@gmail.com</t>
        </is>
      </c>
      <c r="F91" s="3" t="inlineStr">
        <is>
          <t>リハビリテーション室/理学療法士</t>
        </is>
      </c>
      <c r="G91" s="3" t="n">
        <v>314</v>
      </c>
      <c r="H91" s="3" t="n">
        <v>12</v>
      </c>
      <c r="I91" s="3" t="n">
        <v>0</v>
      </c>
      <c r="J91" s="3" t="inlineStr">
        <is>
          <t>届け出をしておらず、検討もしていない</t>
        </is>
      </c>
      <c r="K91" s="3" t="inlineStr">
        <is>
          <t>関節可動域運動, 筋力増強運動, 呼吸リハビリテーション, DVT予防, リラクセーション, ポジショニング, 自主運動指導, 術後リハビリテーションのオリエンテーション, 離床（例：車椅子移乗,立位,歩行など）</t>
        </is>
      </c>
      <c r="L91" s="3" t="inlineStr">
        <is>
          <t>全症例の0％〜24％程度</t>
        </is>
      </c>
      <c r="N91" s="3" t="inlineStr">
        <is>
          <t>全症例の0％〜24％程度</t>
        </is>
      </c>
      <c r="P91" s="3" t="inlineStr">
        <is>
          <t>全症例の0％〜24％程度</t>
        </is>
      </c>
      <c r="R91" s="3" t="inlineStr">
        <is>
          <t>全症例の0％〜24％程度</t>
        </is>
      </c>
      <c r="T91" s="3" t="inlineStr">
        <is>
          <t>握力, 膝伸展筋力, 5回椅子立ち上がりテスト, 歩行速度, SPPB, TUG, 6分間歩行距離</t>
        </is>
      </c>
      <c r="V91" s="3" t="inlineStr">
        <is>
          <t>6分間歩行距離, 認知機能, 握力</t>
        </is>
      </c>
      <c r="X91" s="3" t="inlineStr">
        <is>
          <t>SPPB、握力など</t>
        </is>
      </c>
      <c r="Z91" s="3" t="inlineStr">
        <is>
          <t>Barthel Index（BI）, FIM</t>
        </is>
      </c>
      <c r="AB91" s="3" t="inlineStr">
        <is>
          <t>MMSE, HDS-R</t>
        </is>
      </c>
      <c r="AD91" s="3" t="inlineStr">
        <is>
          <t>実施していない</t>
        </is>
      </c>
      <c r="AE91" s="3" t="inlineStr">
        <is>
          <t>「施設内で定められている」ではなく、患者の状況により判断している</t>
        </is>
      </c>
      <c r="AI91" s="3" t="inlineStr">
        <is>
          <t>下肢筋力強化, バランス練習, 歩行練習, 歩容改善, 起立、着座動作練習, 環境調整, 補助具、装具の適正化, 認知面への介入, 行動面への介入, 薬剤調整, 教育、指導</t>
        </is>
      </c>
    </row>
    <row r="92" ht="22.5" customHeight="1">
      <c r="A92" s="32" t="n">
        <v>46093.69395728009</v>
      </c>
      <c r="B92" s="3" t="inlineStr">
        <is>
          <t>山下　咲子</t>
        </is>
      </c>
      <c r="C92" s="3" t="inlineStr">
        <is>
          <t>医療法人　平成会　サンライズ酒井病院</t>
        </is>
      </c>
      <c r="D92" s="3" t="inlineStr">
        <is>
          <t>大分県</t>
        </is>
      </c>
      <c r="E92" s="3" t="inlineStr">
        <is>
          <t>sakai.reha@gmail.com</t>
        </is>
      </c>
      <c r="F92" s="3" t="inlineStr">
        <is>
          <t>リハビリテーション部/理学療法士</t>
        </is>
      </c>
      <c r="G92" s="3" t="n">
        <v>75</v>
      </c>
      <c r="H92" s="3" t="n">
        <v>14</v>
      </c>
      <c r="I92" s="3" t="n">
        <v>4</v>
      </c>
      <c r="J92" s="3" t="inlineStr">
        <is>
          <t>届け出はしていないが、現在検討中である</t>
        </is>
      </c>
      <c r="K92" s="3" t="inlineStr">
        <is>
          <t>関節可動域運動, 筋力増強運動, 呼吸リハビリテーション, DVT予防, ポジショニング, 自主運動指導, 術後リハビリテーションのオリエンテーション</t>
        </is>
      </c>
      <c r="L92" s="3" t="inlineStr">
        <is>
          <t>全症例の0％〜24％程度</t>
        </is>
      </c>
      <c r="N92" s="3" t="inlineStr">
        <is>
          <t>全症例の0％〜24％程度</t>
        </is>
      </c>
      <c r="P92" s="3" t="inlineStr">
        <is>
          <t>全症例の0％〜24％程度</t>
        </is>
      </c>
      <c r="R92" s="3" t="inlineStr">
        <is>
          <t>全症例の0％〜24％程度</t>
        </is>
      </c>
      <c r="T92" s="3" t="inlineStr">
        <is>
          <t>握力, 歩行速度, TUG, 開眼片脚立位時間, 下腿周径</t>
        </is>
      </c>
      <c r="V92" s="3" t="inlineStr">
        <is>
          <t>TUG, 認知機能, 握力</t>
        </is>
      </c>
      <c r="X92" s="3" t="inlineStr">
        <is>
          <t>ロコチェック（7項目）、SIDE、握力、5m歩行速度、Fall  Risk  Index</t>
        </is>
      </c>
      <c r="Z92" s="3" t="inlineStr">
        <is>
          <t>FIM</t>
        </is>
      </c>
      <c r="AB92" s="3" t="inlineStr">
        <is>
          <t>HDS-R</t>
        </is>
      </c>
      <c r="AD92" s="3" t="inlineStr">
        <is>
          <t>開眼片脚立位時間, TUG, 10m歩行速度, 認知機能, 過去の転倒歴, 既往疾患の有無（脳血管疾患、パーキンソン病など）, ベッド周囲および病室環境, Fall Risk Index</t>
        </is>
      </c>
      <c r="AF92" s="3" t="inlineStr">
        <is>
          <t>決まっている</t>
        </is>
      </c>
      <c r="AG92" s="3" t="inlineStr">
        <is>
          <t>術後1週間以内を目処に各自で取り組んでいる。術前に可能な評価は術前に実施。評価結果はカンファレンスで報告し、多職種と情報共有を行っている。</t>
        </is>
      </c>
      <c r="AI92" s="3" t="inlineStr">
        <is>
          <t>下肢筋力強化, バランス練習, 歩行練習, 歩容改善, 起立、着座動作練習, 環境調整, 補助具、装具の適正化, 認知面への介入, 行動面への介入, 教育、指導</t>
        </is>
      </c>
    </row>
    <row r="93" ht="22.5" customHeight="1">
      <c r="A93" s="32" t="n">
        <v>46093.72019630787</v>
      </c>
      <c r="B93" s="3" t="inlineStr">
        <is>
          <t>谷口聖矢</t>
        </is>
      </c>
      <c r="C93" s="3" t="inlineStr">
        <is>
          <t>社会医療法人　恒心会　恒心会おぐら病院</t>
        </is>
      </c>
      <c r="D93" s="3" t="inlineStr">
        <is>
          <t>鹿児島県</t>
        </is>
      </c>
      <c r="E93" s="3" t="inlineStr">
        <is>
          <t>seiya.therapist@gmail.com</t>
        </is>
      </c>
      <c r="F93" s="3" t="inlineStr">
        <is>
          <t>リハビリテーション科　理学療法士</t>
        </is>
      </c>
      <c r="G93" s="3" t="n">
        <v>259</v>
      </c>
      <c r="H93" s="3" t="n">
        <v>52</v>
      </c>
      <c r="I93" s="3" t="n">
        <v>19</v>
      </c>
      <c r="J93" s="3" t="inlineStr">
        <is>
          <t>現在、算定している</t>
        </is>
      </c>
      <c r="K93" s="3" t="inlineStr">
        <is>
          <t>呼吸リハビリテーション, DVT予防, ポジショニング</t>
        </is>
      </c>
      <c r="L93" s="3" t="inlineStr">
        <is>
          <t>全症例の50％〜74％程度</t>
        </is>
      </c>
      <c r="M93" s="3" t="inlineStr">
        <is>
          <t>リハビリテーションによる早期離床とベッド上の運動よりも移乗動作訓練やトイレ動作訓練等のADL訓練を多く取り入れています。</t>
        </is>
      </c>
      <c r="N93" s="3" t="inlineStr">
        <is>
          <t>全症例の25％〜49％程度</t>
        </is>
      </c>
      <c r="P93" s="3" t="inlineStr">
        <is>
          <t>全症例の0％〜24％程度</t>
        </is>
      </c>
      <c r="R93" s="3" t="inlineStr">
        <is>
          <t>全症例の0％〜24％程度</t>
        </is>
      </c>
      <c r="T93" s="3" t="inlineStr">
        <is>
          <t>握力, 5回椅子立ち上がりテスト, 歩行速度, SPPB, TUG, 6分間歩行距離, 骨格筋量指数（SMI）, 下腿周径, SARC-F</t>
        </is>
      </c>
      <c r="V93" s="3" t="inlineStr">
        <is>
          <t>TUG, 6分間歩行距離, 認知機能, 握力</t>
        </is>
      </c>
      <c r="X93" s="3" t="inlineStr">
        <is>
          <t>立ち上がりテスト, 2ステップテスト</t>
        </is>
      </c>
      <c r="Z93" s="3" t="inlineStr">
        <is>
          <t>Barthel Index（BI）, FIM</t>
        </is>
      </c>
      <c r="AB93" s="3" t="inlineStr">
        <is>
          <t>MMSE, HDS-R, AMTS</t>
        </is>
      </c>
      <c r="AD93" s="3" t="inlineStr">
        <is>
          <t>TUG, 10m歩行速度, SPPB、Functional Reach Test（FRT）, 5回椅子立ち上がりテスト, 認知機能, 転倒恐怖感, 既往疾患の有無（脳血管疾患、パーキンソン病など）, Fall Risk Index</t>
        </is>
      </c>
      <c r="AF93" s="3" t="inlineStr">
        <is>
          <t>決まっている</t>
        </is>
      </c>
      <c r="AG93" s="3" t="inlineStr">
        <is>
          <t>質問表による評価は術前に実施、その他の動的な評価は術後1週、2週、4週、退院前に実施しています。</t>
        </is>
      </c>
      <c r="AI93" s="3" t="inlineStr">
        <is>
          <t>下肢筋力強化, バランス練習, 歩行練習, 歩容改善, 起立、着座動作練習, 環境調整, 補助具、装具の適正化, 認知面への介入, 教育、指導</t>
        </is>
      </c>
    </row>
    <row r="94" ht="22.5" customHeight="1">
      <c r="A94" s="32" t="n">
        <v>46093.73339903935</v>
      </c>
      <c r="B94" s="3" t="inlineStr">
        <is>
          <t>佐藤海渡</t>
        </is>
      </c>
      <c r="C94" s="3" t="inlineStr">
        <is>
          <t>彩の国東大宮メディカルセンター</t>
        </is>
      </c>
      <c r="D94" s="3" t="inlineStr">
        <is>
          <t>埼玉県</t>
        </is>
      </c>
      <c r="E94" s="3" t="inlineStr">
        <is>
          <t>kaito.sato@shmc.jp</t>
        </is>
      </c>
      <c r="F94" s="3" t="inlineStr">
        <is>
          <t>リハビリテーション科　理学療法士</t>
        </is>
      </c>
      <c r="G94" s="3" t="n">
        <v>213</v>
      </c>
      <c r="H94" s="3" t="n">
        <v>12</v>
      </c>
      <c r="I94" s="3" t="n">
        <v>3</v>
      </c>
      <c r="J94" s="3" t="inlineStr">
        <is>
          <t>届け出はしていないが、現在検討中である</t>
        </is>
      </c>
      <c r="K94" s="3" t="inlineStr">
        <is>
          <t>関節可動域運動, 筋力増強運動, DVT予防, 自主運動指導, 術後リハビリテーションのオリエンテーション</t>
        </is>
      </c>
      <c r="L94" s="3" t="inlineStr">
        <is>
          <t>全症例の0％〜24％程度</t>
        </is>
      </c>
      <c r="N94" s="3" t="inlineStr">
        <is>
          <t>全症例の0％〜24％程度</t>
        </is>
      </c>
      <c r="P94" s="3" t="inlineStr">
        <is>
          <t>全症例の0％〜24％程度</t>
        </is>
      </c>
      <c r="R94" s="3" t="inlineStr">
        <is>
          <t>全症例の0％〜24％程度</t>
        </is>
      </c>
      <c r="T94" s="3" t="inlineStr">
        <is>
          <t>下腿周径</t>
        </is>
      </c>
      <c r="V94" s="3" t="inlineStr">
        <is>
          <t>認知機能</t>
        </is>
      </c>
      <c r="X94" s="3" t="inlineStr">
        <is>
          <t>実施していない</t>
        </is>
      </c>
      <c r="Y94" s="3" t="inlineStr">
        <is>
          <t>やるきっかけがない</t>
        </is>
      </c>
      <c r="Z94" s="3" t="inlineStr">
        <is>
          <t>Barthel Index（BI）, FIM</t>
        </is>
      </c>
      <c r="AB94" s="3" t="inlineStr">
        <is>
          <t>AMTS</t>
        </is>
      </c>
      <c r="AD94" s="3" t="inlineStr">
        <is>
          <t>認知機能</t>
        </is>
      </c>
      <c r="AF94" s="3" t="inlineStr">
        <is>
          <t>決まっている</t>
        </is>
      </c>
      <c r="AG94" s="3" t="inlineStr">
        <is>
          <t>術前から術後2日目の間</t>
        </is>
      </c>
      <c r="AI94" s="3" t="inlineStr">
        <is>
          <t>下肢筋力強化, バランス練習, 歩行練習, 歩容改善, 起立、着座動作練習, 環境調整, 認知面への介入, 行動面への介入, 教育、指導</t>
        </is>
      </c>
    </row>
    <row r="95" ht="22.5" customHeight="1">
      <c r="A95" s="32" t="n">
        <v>46093.73402428241</v>
      </c>
      <c r="B95" s="3" t="inlineStr">
        <is>
          <t>嶋田　明永</t>
        </is>
      </c>
      <c r="C95" s="3" t="inlineStr">
        <is>
          <t>大分市医師会立アルメイダ病院</t>
        </is>
      </c>
      <c r="D95" s="3" t="inlineStr">
        <is>
          <t>大分県</t>
        </is>
      </c>
      <c r="E95" s="3" t="inlineStr">
        <is>
          <t>rihabiri@almeida.oita.med.or.jp</t>
        </is>
      </c>
      <c r="F95" s="3" t="inlineStr">
        <is>
          <t>リハビリテーション部/作業療法士</t>
        </is>
      </c>
      <c r="G95" s="3" t="n">
        <v>135</v>
      </c>
      <c r="H95" s="3" t="n">
        <v>12</v>
      </c>
      <c r="I95" s="3" t="n">
        <v>5</v>
      </c>
      <c r="J95" s="3" t="inlineStr">
        <is>
          <t>届け出をしておらず、検討もしていない</t>
        </is>
      </c>
      <c r="K95" s="3" t="inlineStr">
        <is>
          <t>実施していない</t>
        </is>
      </c>
      <c r="L95" s="3" t="inlineStr">
        <is>
          <t>全症例の25％〜49％程度</t>
        </is>
      </c>
      <c r="N95" s="3" t="inlineStr">
        <is>
          <t>全症例の25％〜49％程度</t>
        </is>
      </c>
      <c r="P95" s="3" t="inlineStr">
        <is>
          <t>全症例の0％〜24％程度</t>
        </is>
      </c>
      <c r="R95" s="3" t="inlineStr">
        <is>
          <t>全症例の0％〜24％程度</t>
        </is>
      </c>
      <c r="T95" s="3" t="inlineStr">
        <is>
          <t>実施していない</t>
        </is>
      </c>
      <c r="V95" s="3" t="inlineStr">
        <is>
          <t>実施していない</t>
        </is>
      </c>
      <c r="X95" s="3" t="inlineStr">
        <is>
          <t>実施していない</t>
        </is>
      </c>
      <c r="Z95" s="3" t="inlineStr">
        <is>
          <t>Barthel Index（BI）</t>
        </is>
      </c>
      <c r="AB95" s="3" t="inlineStr">
        <is>
          <t>HDS-R</t>
        </is>
      </c>
      <c r="AD95" s="3" t="inlineStr">
        <is>
          <t>TUG, SPPB、Functional Reach Test（FRT）, 5回椅子立ち上がりテスト, 認知機能</t>
        </is>
      </c>
      <c r="AF95" s="3" t="inlineStr">
        <is>
          <t>決まっている</t>
        </is>
      </c>
      <c r="AG95" s="3" t="inlineStr">
        <is>
          <t>14日目</t>
        </is>
      </c>
      <c r="AI95" s="3" t="inlineStr">
        <is>
          <t>下肢筋力強化, バランス練習, 歩行練習, 歩容改善, 起立、着座動作練習, 教育、指導</t>
        </is>
      </c>
    </row>
    <row r="96" ht="22.5" customHeight="1">
      <c r="A96" s="32" t="n">
        <v>46093.73966936343</v>
      </c>
      <c r="B96" s="3" t="inlineStr">
        <is>
          <t>高橋　伴弥</t>
        </is>
      </c>
      <c r="C96" s="3" t="inlineStr">
        <is>
          <t>医療法人　橋本病院</t>
        </is>
      </c>
      <c r="D96" s="3" t="inlineStr">
        <is>
          <t>和歌山県</t>
        </is>
      </c>
      <c r="E96" s="3" t="inlineStr">
        <is>
          <t>taka.do.it.0618@gmail.com</t>
        </is>
      </c>
      <c r="F96" s="3" t="inlineStr">
        <is>
          <t>リハビリテーション科/理学療法士</t>
        </is>
      </c>
      <c r="G96" s="3" t="n">
        <v>80</v>
      </c>
      <c r="H96" s="3" t="n">
        <v>12</v>
      </c>
      <c r="I96" s="3" t="n">
        <v>4</v>
      </c>
      <c r="J96" s="3" t="inlineStr">
        <is>
          <t>届け出をしておらず、検討もしていない</t>
        </is>
      </c>
      <c r="K96" s="3" t="inlineStr">
        <is>
          <t>実施していない</t>
        </is>
      </c>
      <c r="L96" s="3" t="inlineStr">
        <is>
          <t>全症例の25％〜49％程度</t>
        </is>
      </c>
      <c r="N96" s="3" t="inlineStr">
        <is>
          <t>全症例の0％〜24％程度</t>
        </is>
      </c>
      <c r="P96" s="3" t="inlineStr">
        <is>
          <t>全症例の0％〜24％程度</t>
        </is>
      </c>
      <c r="R96" s="3" t="inlineStr">
        <is>
          <t>全症例の0％〜24％程度</t>
        </is>
      </c>
      <c r="T96" s="3" t="inlineStr">
        <is>
          <t>下腿周径</t>
        </is>
      </c>
      <c r="V96" s="3" t="inlineStr">
        <is>
          <t>GNRI</t>
        </is>
      </c>
      <c r="X96" s="3" t="inlineStr">
        <is>
          <t>実施していない</t>
        </is>
      </c>
      <c r="Y96" s="3" t="inlineStr">
        <is>
          <t>決まりがない為</t>
        </is>
      </c>
      <c r="Z96" s="3" t="inlineStr">
        <is>
          <t>FIM</t>
        </is>
      </c>
      <c r="AB96" s="3" t="inlineStr">
        <is>
          <t>実施していない</t>
        </is>
      </c>
      <c r="AC96" s="3" t="inlineStr">
        <is>
          <t>決まりがない為</t>
        </is>
      </c>
      <c r="AD96" s="3" t="inlineStr">
        <is>
          <t>実施していない</t>
        </is>
      </c>
      <c r="AE96" s="3" t="inlineStr">
        <is>
          <t>特に決まりがない為</t>
        </is>
      </c>
      <c r="AF96" s="3" t="inlineStr">
        <is>
          <t>決まっていない</t>
        </is>
      </c>
      <c r="AI96" s="3" t="inlineStr">
        <is>
          <t>環境調整</t>
        </is>
      </c>
    </row>
    <row r="97" ht="22.5" customHeight="1">
      <c r="A97" s="32" t="n">
        <v>46093.75344018519</v>
      </c>
      <c r="B97" s="3" t="inlineStr">
        <is>
          <t>上田</t>
        </is>
      </c>
      <c r="C97" s="3" t="inlineStr">
        <is>
          <t>市立福知山市民病院</t>
        </is>
      </c>
      <c r="D97" s="3" t="inlineStr">
        <is>
          <t>京都府</t>
        </is>
      </c>
      <c r="E97" s="3" t="inlineStr">
        <is>
          <t>ijika@fukuchiyama-hosp.jp</t>
        </is>
      </c>
      <c r="F97" s="3" t="inlineStr">
        <is>
          <t>理学療法士</t>
        </is>
      </c>
      <c r="G97" s="3" t="n">
        <v>129</v>
      </c>
      <c r="H97" s="3" t="n">
        <v>18</v>
      </c>
      <c r="I97" s="3" t="n">
        <v>0</v>
      </c>
      <c r="J97" s="3" t="inlineStr">
        <is>
          <t>届け出はしていないが、現在検討中である</t>
        </is>
      </c>
      <c r="K97" s="3" t="inlineStr">
        <is>
          <t>関節可動域運動, 筋力増強運動, 呼吸リハビリテーション, ポジショニング, 自主運動指導, 術後リハビリテーションのオリエンテーション</t>
        </is>
      </c>
      <c r="L97" s="3" t="inlineStr">
        <is>
          <t>全症例の75％〜100％程度</t>
        </is>
      </c>
      <c r="M97" s="3" t="inlineStr">
        <is>
          <t>疼痛軽減のためのアイシングやマッサージ、リラクセーション、可動域運動の実施</t>
        </is>
      </c>
      <c r="N97" s="3" t="inlineStr">
        <is>
          <t>全症例の25％〜49％程度</t>
        </is>
      </c>
      <c r="P97" s="3" t="inlineStr">
        <is>
          <t>全症例の0％〜24％程度</t>
        </is>
      </c>
      <c r="R97" s="3" t="inlineStr">
        <is>
          <t>全症例の0％〜24％程度</t>
        </is>
      </c>
      <c r="T97" s="3" t="inlineStr">
        <is>
          <t>握力, 5回椅子立ち上がりテスト, SPPB, TUG, 6分間歩行距離</t>
        </is>
      </c>
      <c r="V97" s="3" t="inlineStr">
        <is>
          <t>TUG, 6分間歩行距離, 握力</t>
        </is>
      </c>
      <c r="X97" s="3" t="inlineStr">
        <is>
          <t>実施していない</t>
        </is>
      </c>
      <c r="Z97" s="3" t="inlineStr">
        <is>
          <t>Barthel Index（BI）, FIM</t>
        </is>
      </c>
      <c r="AB97" s="3" t="inlineStr">
        <is>
          <t>MMSE</t>
        </is>
      </c>
      <c r="AD97" s="3" t="inlineStr">
        <is>
          <t>定量的な下肢筋力測定, 既往疾患の有無（脳血管疾患、パーキンソン病など）, ベッド周囲および病室環境</t>
        </is>
      </c>
      <c r="AF97" s="3" t="inlineStr">
        <is>
          <t>決まっている</t>
        </is>
      </c>
      <c r="AG97" s="3" t="inlineStr">
        <is>
          <t>１週間以内</t>
        </is>
      </c>
      <c r="AI97" s="3" t="inlineStr">
        <is>
          <t>下肢筋力強化, バランス練習, 歩行練習, 歩容改善, 起立、着座動作練習, 環境調整, 補助具、装具の適正化, 認知面への介入, 行動面への介入, 教育、指導</t>
        </is>
      </c>
    </row>
    <row r="98" ht="22.5" customHeight="1">
      <c r="A98" s="32" t="n">
        <v>46093.85805075231</v>
      </c>
      <c r="B98" s="3" t="inlineStr">
        <is>
          <t>伊藤慎也</t>
        </is>
      </c>
      <c r="C98" s="3" t="inlineStr">
        <is>
          <t>小牧市民病院</t>
        </is>
      </c>
      <c r="D98" s="3" t="inlineStr">
        <is>
          <t>愛知県</t>
        </is>
      </c>
      <c r="E98" s="3" t="inlineStr">
        <is>
          <t>itos.1110@gmail.com</t>
        </is>
      </c>
      <c r="F98" s="3" t="inlineStr">
        <is>
          <t>リハビリテーション科/理学療法士</t>
        </is>
      </c>
      <c r="G98" s="3" t="n">
        <v>233</v>
      </c>
      <c r="H98" s="3" t="n">
        <v>14</v>
      </c>
      <c r="I98" s="3" t="n">
        <v>0</v>
      </c>
      <c r="J98" s="3" t="inlineStr">
        <is>
          <t>届け出をしておらず、検討もしていない</t>
        </is>
      </c>
      <c r="K98" s="3" t="inlineStr">
        <is>
          <t>手術待機期間が長い場合、廃用予防リハビリ</t>
        </is>
      </c>
      <c r="L98" s="3" t="inlineStr">
        <is>
          <t>全症例の25％〜49％程度</t>
        </is>
      </c>
      <c r="N98" s="3" t="inlineStr">
        <is>
          <t>全症例の25％〜49％程度</t>
        </is>
      </c>
      <c r="P98" s="3" t="inlineStr">
        <is>
          <t>全症例の0％〜24％程度</t>
        </is>
      </c>
      <c r="R98" s="3" t="inlineStr">
        <is>
          <t>全症例の25％〜49％程度</t>
        </is>
      </c>
      <c r="T98" s="3" t="inlineStr">
        <is>
          <t>歩行速度, 下腿周径</t>
        </is>
      </c>
      <c r="V98" s="3" t="inlineStr">
        <is>
          <t>実施していない</t>
        </is>
      </c>
      <c r="X98" s="3" t="inlineStr">
        <is>
          <t>実施していない</t>
        </is>
      </c>
      <c r="Z98" s="3" t="inlineStr">
        <is>
          <t>Barthel Index（BI）</t>
        </is>
      </c>
      <c r="AB98" s="3" t="inlineStr">
        <is>
          <t>MMSE</t>
        </is>
      </c>
      <c r="AD98" s="3" t="inlineStr">
        <is>
          <t>下肢荷重検査</t>
        </is>
      </c>
      <c r="AF98" s="3" t="inlineStr">
        <is>
          <t>決まっている</t>
        </is>
      </c>
      <c r="AG98" s="3" t="inlineStr">
        <is>
          <t>歩行開始期から毎日</t>
        </is>
      </c>
      <c r="AI98" s="3" t="inlineStr">
        <is>
          <t>下肢筋力強化, バランス練習, 歩行練習, 歩容改善, 環境調整, 補助具、装具の適正化, 教育、指導</t>
        </is>
      </c>
    </row>
    <row r="99" ht="22.5" customHeight="1">
      <c r="A99" s="32" t="n">
        <v>46094.40657538195</v>
      </c>
      <c r="B99" s="3" t="inlineStr">
        <is>
          <t>亀山　拓良</t>
        </is>
      </c>
      <c r="C99" s="3" t="inlineStr">
        <is>
          <t>富山市民病院</t>
        </is>
      </c>
      <c r="D99" s="3" t="inlineStr">
        <is>
          <t>富山県</t>
        </is>
      </c>
      <c r="E99" s="3" t="inlineStr">
        <is>
          <t>takukumi0126@yahoo.co.jp</t>
        </is>
      </c>
      <c r="F99" s="3" t="inlineStr">
        <is>
          <t>リハビリテーション科／理学療法士</t>
        </is>
      </c>
      <c r="G99" s="3" t="n">
        <v>230</v>
      </c>
      <c r="H99" s="3" t="n">
        <v>6</v>
      </c>
      <c r="I99" s="3" t="n">
        <v>2</v>
      </c>
      <c r="J99" s="3" t="inlineStr">
        <is>
          <t>届け出をしておらず、検討もしていない</t>
        </is>
      </c>
      <c r="K99" s="3" t="inlineStr">
        <is>
          <t>関節可動域運動, 筋力増強運動, DVT予防, ポジショニング, 自主運動指導, 術後リハビリテーションのオリエンテーション, 離床（例：車椅子移乗,立位,歩行など）</t>
        </is>
      </c>
      <c r="L99" s="3" t="inlineStr">
        <is>
          <t>全症例の50％〜74％程度</t>
        </is>
      </c>
      <c r="M99" s="3" t="inlineStr">
        <is>
          <t>術後1日目からの車椅子移乗　立位練習</t>
        </is>
      </c>
      <c r="N99" s="3" t="inlineStr">
        <is>
          <t>全症例の0％〜24％程度</t>
        </is>
      </c>
      <c r="P99" s="3" t="inlineStr">
        <is>
          <t>全症例の0％〜24％程度</t>
        </is>
      </c>
      <c r="R99" s="3" t="inlineStr">
        <is>
          <t>全症例の0％〜24％程度</t>
        </is>
      </c>
      <c r="T99" s="3" t="inlineStr">
        <is>
          <t>握力, 歩行速度, SPPB</t>
        </is>
      </c>
      <c r="V99" s="3" t="inlineStr">
        <is>
          <t>握力</t>
        </is>
      </c>
      <c r="X99" s="3" t="inlineStr">
        <is>
          <t>立ち上がりテスト</t>
        </is>
      </c>
      <c r="Z99" s="3" t="inlineStr">
        <is>
          <t>Barthel Index（BI）</t>
        </is>
      </c>
      <c r="AB99" s="3" t="inlineStr">
        <is>
          <t>実施していない</t>
        </is>
      </c>
      <c r="AD99" s="3" t="inlineStr">
        <is>
          <t>SPPB、Functional Reach Test（FRT）, 5回椅子立ち上がりテスト, せん妄, 過去の転倒歴</t>
        </is>
      </c>
      <c r="AF99" s="3" t="inlineStr">
        <is>
          <t>決まっている</t>
        </is>
      </c>
      <c r="AG99" s="3" t="inlineStr">
        <is>
          <t>3ヶ月、6ヶ月、1年の再診時</t>
        </is>
      </c>
      <c r="AI99" s="3" t="inlineStr">
        <is>
          <t>下肢筋力強化, バランス練習, 歩行練習, 歩容改善, 起立、着座動作練習</t>
        </is>
      </c>
    </row>
    <row r="100" ht="22.5" customHeight="1">
      <c r="A100" s="32" t="n">
        <v>46094.41204236111</v>
      </c>
      <c r="B100" s="3" t="inlineStr">
        <is>
          <t>中村亮一</t>
        </is>
      </c>
      <c r="C100" s="3" t="inlineStr">
        <is>
          <t>シムラ病院</t>
        </is>
      </c>
      <c r="D100" s="3" t="inlineStr">
        <is>
          <t>広島県</t>
        </is>
      </c>
      <c r="E100" s="3" t="inlineStr">
        <is>
          <t>rehabilitation@shimura.or.jp</t>
        </is>
      </c>
      <c r="F100" s="3" t="inlineStr">
        <is>
          <t>リハビリテーション科/理学療法士</t>
        </is>
      </c>
      <c r="G100" s="3" t="n">
        <v>399</v>
      </c>
      <c r="H100" s="3" t="n">
        <v>7</v>
      </c>
      <c r="I100" s="3" t="n">
        <v>6</v>
      </c>
      <c r="J100" s="3" t="inlineStr">
        <is>
          <t>現在、算定している</t>
        </is>
      </c>
      <c r="K100" s="3" t="inlineStr">
        <is>
          <t>筋力増強運動, DVT予防, ポジショニング, 自主運動指導, 術後リハビリテーションのオリエンテーション</t>
        </is>
      </c>
      <c r="L100" s="3" t="inlineStr">
        <is>
          <t>全症例の0％〜24％程度</t>
        </is>
      </c>
      <c r="N100" s="3" t="inlineStr">
        <is>
          <t>全症例の25％〜49％程度</t>
        </is>
      </c>
      <c r="P100" s="3" t="inlineStr">
        <is>
          <t>全症例の25％〜49％程度</t>
        </is>
      </c>
      <c r="R100" s="3" t="inlineStr">
        <is>
          <t>全症例の0％〜24％程度</t>
        </is>
      </c>
      <c r="T100" s="3" t="inlineStr">
        <is>
          <t>握力, 歩行速度, TUG, 下腿周径</t>
        </is>
      </c>
      <c r="V100" s="3" t="inlineStr">
        <is>
          <t>認知機能</t>
        </is>
      </c>
      <c r="X100" s="3" t="inlineStr">
        <is>
          <t>ロコモ25（質問票）</t>
        </is>
      </c>
      <c r="Z100" s="3" t="inlineStr">
        <is>
          <t>Barthel Index（BI）, FIM</t>
        </is>
      </c>
      <c r="AB100" s="3" t="inlineStr">
        <is>
          <t>MMSE, HDS-R</t>
        </is>
      </c>
      <c r="AD100" s="3" t="inlineStr">
        <is>
          <t>認知機能</t>
        </is>
      </c>
      <c r="AF100" s="3" t="inlineStr">
        <is>
          <t>決まっていない</t>
        </is>
      </c>
      <c r="AI100" s="3" t="inlineStr">
        <is>
          <t>下肢筋力強化, バランス練習, 歩行練習, 認知面への介入, 教育、指導</t>
        </is>
      </c>
    </row>
    <row r="101" ht="22.5" customHeight="1">
      <c r="A101" s="32" t="n">
        <v>46094.54021835648</v>
      </c>
      <c r="B101" s="3" t="inlineStr">
        <is>
          <t>作業療法士　高木</t>
        </is>
      </c>
      <c r="C101" s="3" t="inlineStr">
        <is>
          <t>社会福祉法人恩賜財団済生会支部広島県済生会　済生会広島病院</t>
        </is>
      </c>
      <c r="D101" s="3" t="inlineStr">
        <is>
          <t>広島県</t>
        </is>
      </c>
      <c r="E101" s="3" t="inlineStr">
        <is>
          <t>i.takaki@saiseikai.com</t>
        </is>
      </c>
      <c r="F101" s="3" t="inlineStr">
        <is>
          <t>リハビリテーション室</t>
        </is>
      </c>
      <c r="G101" s="3" t="n">
        <v>131</v>
      </c>
      <c r="H101" s="3" t="n">
        <v>26</v>
      </c>
      <c r="I101" s="3" t="n">
        <v>16</v>
      </c>
      <c r="J101" s="3" t="inlineStr">
        <is>
          <t>届け出をしておらず、検討もしていない</t>
        </is>
      </c>
      <c r="K101" s="3" t="inlineStr">
        <is>
          <t>関節可動域運動, DVT予防, ポジショニング, 自主運動指導</t>
        </is>
      </c>
      <c r="L101" s="3" t="inlineStr">
        <is>
          <t>全症例の0％〜24％程度</t>
        </is>
      </c>
      <c r="N101" s="3" t="inlineStr">
        <is>
          <t>全症例の0％〜24％程度</t>
        </is>
      </c>
      <c r="P101" s="3" t="inlineStr">
        <is>
          <t>全症例の0％〜24％程度</t>
        </is>
      </c>
      <c r="R101" s="3" t="inlineStr">
        <is>
          <t>全症例の0％〜24％程度</t>
        </is>
      </c>
      <c r="T101" s="3" t="inlineStr">
        <is>
          <t>握力, 下腿周径</t>
        </is>
      </c>
      <c r="V101" s="3" t="inlineStr">
        <is>
          <t>握力</t>
        </is>
      </c>
      <c r="X101" s="3" t="inlineStr">
        <is>
          <t>実施していない</t>
        </is>
      </c>
      <c r="Z101" s="3" t="inlineStr">
        <is>
          <t>Barthel Index（BI）, FIM</t>
        </is>
      </c>
      <c r="AB101" s="3" t="inlineStr">
        <is>
          <t>MMSE, HDS-R, MoCA</t>
        </is>
      </c>
      <c r="AD101" s="3" t="inlineStr">
        <is>
          <t>実施していない</t>
        </is>
      </c>
      <c r="AE101" s="3" t="inlineStr">
        <is>
          <t>理学療法士、作業療法士が個々に実施しており、FLS活動の一環としては行なっていません</t>
        </is>
      </c>
      <c r="AI101" s="3" t="inlineStr">
        <is>
          <t>下肢筋力強化, バランス練習, 歩行練習, 歩容改善, 起立、着座動作練習, 環境調整, 補助具、装具の適正化, 認知面への介入, 行動面への介入, 教育、指導</t>
        </is>
      </c>
    </row>
    <row r="102" ht="22.5" customHeight="1">
      <c r="A102" s="32" t="n">
        <v>46094.697390625</v>
      </c>
      <c r="B102" s="3" t="inlineStr">
        <is>
          <t>前川貴裕</t>
        </is>
      </c>
      <c r="C102" s="3" t="inlineStr">
        <is>
          <t>医療法人社団浅ノ川　浅ノ川総合病院</t>
        </is>
      </c>
      <c r="D102" s="3" t="inlineStr">
        <is>
          <t>石川県</t>
        </is>
      </c>
      <c r="E102" s="3" t="inlineStr">
        <is>
          <t>ta.ka.hi.ro.m@gmail.com</t>
        </is>
      </c>
      <c r="F102" s="3" t="inlineStr">
        <is>
          <t>リハビリテーションセンター／理学療法士</t>
        </is>
      </c>
      <c r="G102" s="3" t="n">
        <v>136</v>
      </c>
      <c r="H102" s="3" t="n">
        <v>6</v>
      </c>
      <c r="I102" s="3" t="n">
        <v>0</v>
      </c>
      <c r="J102" s="3" t="inlineStr">
        <is>
          <t>届け出をしておらず、検討もしていない</t>
        </is>
      </c>
      <c r="K102" s="3" t="inlineStr">
        <is>
          <t>関節可動域運動, 筋力増強運動, 呼吸リハビリテーション, DVT予防, ポジショニング, 自主運動指導, 術後リハビリテーションのオリエンテーション</t>
        </is>
      </c>
      <c r="L102" s="3" t="inlineStr">
        <is>
          <t>全症例の75％〜100％程度</t>
        </is>
      </c>
      <c r="M102" s="3" t="inlineStr">
        <is>
          <t>特になし</t>
        </is>
      </c>
      <c r="N102" s="3" t="inlineStr">
        <is>
          <t>全症例の0％〜24％程度</t>
        </is>
      </c>
      <c r="P102" s="3" t="inlineStr">
        <is>
          <t>全症例の0％〜24％程度</t>
        </is>
      </c>
      <c r="R102" s="3" t="inlineStr">
        <is>
          <t>全症例の0％〜24％程度</t>
        </is>
      </c>
      <c r="T102" s="3" t="inlineStr">
        <is>
          <t>握力, 5回椅子立ち上がりテスト, 歩行速度</t>
        </is>
      </c>
      <c r="V102" s="3" t="inlineStr">
        <is>
          <t>握力</t>
        </is>
      </c>
      <c r="X102" s="3" t="inlineStr">
        <is>
          <t>実施していない</t>
        </is>
      </c>
      <c r="Y102" s="3" t="inlineStr">
        <is>
          <t>骨折している時点でロコモはあると思われ評価を行う重要度が低いと思い評価していない</t>
        </is>
      </c>
      <c r="Z102" s="3" t="inlineStr">
        <is>
          <t>Barthel Index（BI）</t>
        </is>
      </c>
      <c r="AB102" s="3" t="inlineStr">
        <is>
          <t>HDS-R</t>
        </is>
      </c>
      <c r="AD102" s="3" t="inlineStr">
        <is>
          <t>実施していない</t>
        </is>
      </c>
      <c r="AE102" s="3" t="inlineStr">
        <is>
          <t>FLS活動の一環として実施することを定めた評価はない。FLSに関係なく転倒リスクの評価は行っているが、何を行うかは個々の判断にゆだねられている。</t>
        </is>
      </c>
      <c r="AI102" s="3" t="inlineStr">
        <is>
          <t>下肢筋力強化, バランス練習, 歩行練習, 歩容改善, 起立、着座動作練習, 環境調整, 補助具、装具の適正化, 認知面への介入, 行動面への介入, 薬剤調整, 教育、指導</t>
        </is>
      </c>
    </row>
    <row r="103" ht="22.5" customHeight="1">
      <c r="A103" s="32" t="n">
        <v>46094.75899596065</v>
      </c>
      <c r="B103" s="3" t="inlineStr">
        <is>
          <t>八木　格</t>
        </is>
      </c>
      <c r="C103" s="3" t="inlineStr">
        <is>
          <t>鈴鹿中央総合病院</t>
        </is>
      </c>
      <c r="D103" s="3" t="inlineStr">
        <is>
          <t>三重県</t>
        </is>
      </c>
      <c r="E103" s="3" t="inlineStr">
        <is>
          <t>riha@sch.miekosei.or.jp</t>
        </is>
      </c>
      <c r="F103" s="3" t="inlineStr">
        <is>
          <t>リハビリテーション科／理学療法士</t>
        </is>
      </c>
      <c r="G103" s="3" t="n">
        <v>207</v>
      </c>
      <c r="H103" s="3" t="n">
        <v>5</v>
      </c>
      <c r="I103" s="3" t="n">
        <v>2</v>
      </c>
      <c r="J103" s="3" t="inlineStr">
        <is>
          <t>届け出はしていないが、現在検討中である</t>
        </is>
      </c>
      <c r="K103" s="3" t="inlineStr">
        <is>
          <t>筋力増強運動, 呼吸リハビリテーション, DVT予防, ポジショニング, 自主運動指導, 術後リハビリテーションのオリエンテーション</t>
        </is>
      </c>
      <c r="L103" s="3" t="inlineStr">
        <is>
          <t>全症例の0％〜24％程度</t>
        </is>
      </c>
      <c r="N103" s="3" t="inlineStr">
        <is>
          <t>全症例の0％〜24％程度</t>
        </is>
      </c>
      <c r="P103" s="3" t="inlineStr">
        <is>
          <t>全症例の0％〜24％程度</t>
        </is>
      </c>
      <c r="R103" s="3" t="inlineStr">
        <is>
          <t>全症例の0％〜24％程度</t>
        </is>
      </c>
      <c r="T103" s="3" t="inlineStr">
        <is>
          <t>握力, 膝伸展筋力, 歩行速度, TUG, 開眼片脚立位時間, 下腿周径</t>
        </is>
      </c>
      <c r="V103" s="3" t="inlineStr">
        <is>
          <t>J-CHS基準, TUG, 認知機能, 握力</t>
        </is>
      </c>
      <c r="X103" s="3" t="inlineStr">
        <is>
          <t>立ち上がりテスト, 2ステップテスト</t>
        </is>
      </c>
      <c r="Z103" s="3" t="inlineStr">
        <is>
          <t>FIM</t>
        </is>
      </c>
      <c r="AB103" s="3" t="inlineStr">
        <is>
          <t>HDS-R</t>
        </is>
      </c>
      <c r="AD103" s="3" t="inlineStr">
        <is>
          <t>定量的な下肢筋力測定, 開眼片脚立位時間, TUG, 10m歩行速度, 認知機能, せん妄, 過去の転倒歴, 既往疾患の有無（脳血管疾患、パーキンソン病など）, 薬剤（向精神薬、降圧薬、利尿薬、ポリファーマシーなど）, ベッド周囲および病室環境</t>
        </is>
      </c>
      <c r="AF103" s="3" t="inlineStr">
        <is>
          <t>決まっている</t>
        </is>
      </c>
      <c r="AG103" s="3" t="inlineStr">
        <is>
          <t>14日目</t>
        </is>
      </c>
      <c r="AI103" s="3" t="inlineStr">
        <is>
          <t>下肢筋力強化, バランス練習, 歩行練習, 歩容改善, 起立、着座動作練習, 環境調整, 補助具、装具の適正化, 教育、指導</t>
        </is>
      </c>
    </row>
    <row r="104" ht="22.5" customHeight="1">
      <c r="A104" s="32" t="n">
        <v>46096.53858108796</v>
      </c>
      <c r="B104" s="3" t="inlineStr">
        <is>
          <t>三浦　隆之</t>
        </is>
      </c>
      <c r="C104" s="3" t="inlineStr">
        <is>
          <t>青森市民病院</t>
        </is>
      </c>
      <c r="D104" s="3" t="inlineStr">
        <is>
          <t>青森県</t>
        </is>
      </c>
      <c r="E104" s="3" t="inlineStr">
        <is>
          <t>auhw0412022@yahoo.co.jp</t>
        </is>
      </c>
      <c r="F104" s="3" t="inlineStr">
        <is>
          <t>リハビリテーション室／理学療法士</t>
        </is>
      </c>
      <c r="G104" s="3" t="n">
        <v>182</v>
      </c>
      <c r="H104" s="3" t="n">
        <v>7</v>
      </c>
      <c r="I104" s="3" t="n">
        <v>0</v>
      </c>
      <c r="J104" s="3" t="inlineStr">
        <is>
          <t>届け出をしておらず、検討もしていない</t>
        </is>
      </c>
      <c r="K104" s="3" t="inlineStr">
        <is>
          <t>実施していない</t>
        </is>
      </c>
      <c r="L104" s="3" t="inlineStr">
        <is>
          <t>全症例の50％〜74％程度</t>
        </is>
      </c>
      <c r="M104" s="3" t="inlineStr">
        <is>
          <t>なるべく車椅子座位で昼食をとるようにしている</t>
        </is>
      </c>
      <c r="N104" s="3" t="inlineStr">
        <is>
          <t>全症例の25％〜49％程度</t>
        </is>
      </c>
      <c r="P104" s="3" t="inlineStr">
        <is>
          <t>全症例の0％〜24％程度</t>
        </is>
      </c>
      <c r="R104" s="3" t="inlineStr">
        <is>
          <t>全症例の0％〜24％程度</t>
        </is>
      </c>
      <c r="T104" s="3" t="inlineStr">
        <is>
          <t>握力, 歩行速度, TUG, 開眼片脚立位時間, 下腿周径</t>
        </is>
      </c>
      <c r="V104" s="3" t="inlineStr">
        <is>
          <t>TUG, 認知機能, 握力</t>
        </is>
      </c>
      <c r="X104" s="3" t="inlineStr">
        <is>
          <t>実施していない</t>
        </is>
      </c>
      <c r="Y104" s="3" t="inlineStr">
        <is>
          <t>術後疼痛などの影響により実施できないことが多い。人員が少なく評価項目を選別せざるを得ない。</t>
        </is>
      </c>
      <c r="Z104" s="3" t="inlineStr">
        <is>
          <t>Barthel Index（BI）, FIM</t>
        </is>
      </c>
      <c r="AB104" s="3" t="inlineStr">
        <is>
          <t>MMSE, HDS-R</t>
        </is>
      </c>
      <c r="AD104" s="3" t="inlineStr">
        <is>
          <t>開眼片脚立位時間, TUG, 10m歩行速度, 認知機能, 過去の転倒歴, 握力、下腿周径</t>
        </is>
      </c>
      <c r="AF104" s="3" t="inlineStr">
        <is>
          <t>決まっている</t>
        </is>
      </c>
      <c r="AG104" s="3" t="inlineStr">
        <is>
          <t>項目によって違い、
握力や認知機能は遅くても7日目以内、
10メートル歩行やTUGは14日目以内（転院前、杖歩行以上可能な方に限定）</t>
        </is>
      </c>
      <c r="AI104" s="3" t="inlineStr">
        <is>
          <t>下肢筋力強化, バランス練習, 歩行練習, 歩容改善, 起立、着座動作練習, 補助具、装具の適正化, 教育、指導</t>
        </is>
      </c>
    </row>
    <row r="105" ht="22.5" customHeight="1">
      <c r="A105" s="32" t="n">
        <v>46096.68524392361</v>
      </c>
      <c r="B105" s="3" t="inlineStr">
        <is>
          <t>理学療法士</t>
        </is>
      </c>
      <c r="C105" s="3" t="inlineStr">
        <is>
          <t>尾道市立市民病院</t>
        </is>
      </c>
      <c r="D105" s="3" t="inlineStr">
        <is>
          <t>広島県</t>
        </is>
      </c>
      <c r="E105" s="3" t="inlineStr">
        <is>
          <t>amazaki.tamio@omhp.jp</t>
        </is>
      </c>
      <c r="F105" s="3" t="inlineStr">
        <is>
          <t>リハビリテーション科／理学療法士</t>
        </is>
      </c>
      <c r="G105" s="3" t="n">
        <v>175</v>
      </c>
      <c r="H105" s="3" t="n">
        <v>13</v>
      </c>
      <c r="I105" s="3" t="n">
        <v>1</v>
      </c>
      <c r="J105" s="3" t="inlineStr">
        <is>
          <t>届け出はしていないが、現在検討中である</t>
        </is>
      </c>
      <c r="K105" s="3" t="inlineStr">
        <is>
          <t>筋力増強運動, 術後リハビリテーションのオリエンテーション</t>
        </is>
      </c>
      <c r="L105" s="3" t="inlineStr">
        <is>
          <t>全症例の25％〜49％程度</t>
        </is>
      </c>
      <c r="N105" s="3" t="inlineStr">
        <is>
          <t>全症例の25％〜49％程度</t>
        </is>
      </c>
      <c r="P105" s="3" t="inlineStr">
        <is>
          <t>全症例の25％〜49％程度</t>
        </is>
      </c>
      <c r="R105" s="3" t="inlineStr">
        <is>
          <t>全症例の0％〜24％程度</t>
        </is>
      </c>
      <c r="T105" s="3" t="inlineStr">
        <is>
          <t>握力, 膝伸展筋力, 歩行速度, TUG</t>
        </is>
      </c>
      <c r="V105" s="3" t="inlineStr">
        <is>
          <t>TUG, 認知機能, 握力</t>
        </is>
      </c>
      <c r="X105" s="3" t="inlineStr">
        <is>
          <t>立ち上がりテスト</t>
        </is>
      </c>
      <c r="Z105" s="3" t="inlineStr">
        <is>
          <t>Barthel Index（BI）</t>
        </is>
      </c>
      <c r="AB105" s="3" t="inlineStr">
        <is>
          <t>HDS-R</t>
        </is>
      </c>
      <c r="AD105" s="3" t="inlineStr">
        <is>
          <t>TUG, 10m歩行速度, 認知機能, 過去の転倒歴</t>
        </is>
      </c>
      <c r="AF105" s="3" t="inlineStr">
        <is>
          <t>決まっていない</t>
        </is>
      </c>
      <c r="AH105" s="3" t="inlineStr">
        <is>
          <t>特になし</t>
        </is>
      </c>
      <c r="AI105" s="3" t="inlineStr">
        <is>
          <t>下肢筋力強化, バランス練習, 歩行練習, 歩容改善, 起立、着座動作練習, 環境調整, 教育、指導</t>
        </is>
      </c>
    </row>
    <row r="106" ht="22.5" customHeight="1">
      <c r="A106" s="32" t="n">
        <v>46097.38002925926</v>
      </c>
      <c r="B106" s="3" t="inlineStr">
        <is>
          <t>木村佳美</t>
        </is>
      </c>
      <c r="C106" s="3" t="inlineStr">
        <is>
          <t>藤枝市立総合病院</t>
        </is>
      </c>
      <c r="D106" s="3" t="inlineStr">
        <is>
          <t>静岡県</t>
        </is>
      </c>
      <c r="E106" s="3" t="inlineStr">
        <is>
          <t>reha@hospital.fujieda.shizuoka.jp</t>
        </is>
      </c>
      <c r="F106" s="3" t="inlineStr">
        <is>
          <t>診療技術部/リハビリテーション科/理学療法士</t>
        </is>
      </c>
      <c r="G106" s="3" t="n">
        <v>364</v>
      </c>
      <c r="H106" s="3" t="n">
        <v>7</v>
      </c>
      <c r="I106" s="3" t="n">
        <v>5</v>
      </c>
      <c r="J106" s="3" t="inlineStr">
        <is>
          <t>届け出はしていないが、現在検討中である</t>
        </is>
      </c>
      <c r="K106" s="3" t="inlineStr">
        <is>
          <t>関節可動域運動, 筋力増強運動, DVT予防, ポジショニング, 自主運動指導, 術後リハビリテーションのオリエンテーション</t>
        </is>
      </c>
      <c r="L106" s="3" t="inlineStr">
        <is>
          <t>全症例の0％〜24％程度</t>
        </is>
      </c>
      <c r="N106" s="3" t="inlineStr">
        <is>
          <t>全症例の0％〜24％程度</t>
        </is>
      </c>
      <c r="P106" s="3" t="inlineStr">
        <is>
          <t>全症例の0％〜24％程度</t>
        </is>
      </c>
      <c r="R106" s="3" t="inlineStr">
        <is>
          <t>全症例の0％〜24％程度</t>
        </is>
      </c>
      <c r="T106" s="3" t="inlineStr">
        <is>
          <t>実施していない</t>
        </is>
      </c>
      <c r="U106" s="3" t="inlineStr">
        <is>
          <t>急性期で痛みあり検査に至らない</t>
        </is>
      </c>
      <c r="V106" s="3" t="inlineStr">
        <is>
          <t>実施していない</t>
        </is>
      </c>
      <c r="W106" s="3" t="inlineStr">
        <is>
          <t>急性期で痛みあり検査に至らない</t>
        </is>
      </c>
      <c r="X106" s="3" t="inlineStr">
        <is>
          <t>実施していない</t>
        </is>
      </c>
      <c r="Y106" s="3" t="inlineStr">
        <is>
          <t>急性期で痛みあり検査に至らない</t>
        </is>
      </c>
      <c r="Z106" s="3" t="inlineStr">
        <is>
          <t>Barthel Index（BI）</t>
        </is>
      </c>
      <c r="AB106" s="3" t="inlineStr">
        <is>
          <t>HDS-R, AMTS</t>
        </is>
      </c>
      <c r="AD106" s="3" t="inlineStr">
        <is>
          <t>実施していない</t>
        </is>
      </c>
      <c r="AE106" s="3" t="inlineStr">
        <is>
          <t>転倒リスクの評価を当院では看護師が行うこととなっている。行っている評価はあるが、あえて転倒リスク評価としては行っていない。</t>
        </is>
      </c>
      <c r="AI106" s="3" t="inlineStr">
        <is>
          <t>下肢筋力強化, バランス練習, 歩行練習, 歩容改善, 起立、着座動作練習, 環境調整, 補助具、装具の適正化, 認知面への介入, 教育、指導</t>
        </is>
      </c>
    </row>
    <row r="107" ht="22.5" customHeight="1">
      <c r="A107" s="32" t="n">
        <v>46097.56031409722</v>
      </c>
      <c r="B107" s="3" t="inlineStr">
        <is>
          <t>佐藤拓也</t>
        </is>
      </c>
      <c r="C107" s="3" t="inlineStr">
        <is>
          <t>佐久市立国保浅間総合病院</t>
        </is>
      </c>
      <c r="D107" s="3" t="inlineStr">
        <is>
          <t>長野県</t>
        </is>
      </c>
      <c r="E107" s="3" t="inlineStr">
        <is>
          <t>h-rehabili@city.saku.nagano.jp</t>
        </is>
      </c>
      <c r="F107" s="3" t="inlineStr">
        <is>
          <t>リハビリテーション科　作業療法士</t>
        </is>
      </c>
      <c r="G107" s="3" t="n">
        <v>120</v>
      </c>
      <c r="H107" s="3" t="n">
        <v>16</v>
      </c>
      <c r="I107" s="3" t="n">
        <v>10</v>
      </c>
      <c r="J107" s="3" t="inlineStr">
        <is>
          <t>届け出をしておらず、検討もしていない</t>
        </is>
      </c>
      <c r="K107" s="3" t="inlineStr">
        <is>
          <t>関節可動域運動, 筋力増強運動, リラクセーション, ポジショニング, 自主運動指導</t>
        </is>
      </c>
      <c r="L107" s="3" t="inlineStr">
        <is>
          <t>全症例の50％〜74％程度</t>
        </is>
      </c>
      <c r="M107" s="3" t="inlineStr">
        <is>
          <t>ROMex、筋力強化</t>
        </is>
      </c>
      <c r="N107" s="3" t="inlineStr">
        <is>
          <t>全症例の0％〜24％程度</t>
        </is>
      </c>
      <c r="P107" s="3" t="inlineStr">
        <is>
          <t>全症例の0％〜24％程度</t>
        </is>
      </c>
      <c r="R107" s="3" t="inlineStr">
        <is>
          <t>全症例の0％〜24％程度</t>
        </is>
      </c>
      <c r="T107" s="3" t="inlineStr">
        <is>
          <t>握力, 歩行速度, 開眼片脚立位時間, 下腿周径</t>
        </is>
      </c>
      <c r="V107" s="3" t="inlineStr">
        <is>
          <t>実施していない</t>
        </is>
      </c>
      <c r="W107" s="3" t="inlineStr">
        <is>
          <t>フレイルに対する決まった評価項目を設けていない</t>
        </is>
      </c>
      <c r="X107" s="3" t="inlineStr">
        <is>
          <t>実施していない</t>
        </is>
      </c>
      <c r="Y107" s="3" t="inlineStr">
        <is>
          <t>ロコモティブシンドロームに対する決まった評価項目を設けていない</t>
        </is>
      </c>
      <c r="Z107" s="3" t="inlineStr">
        <is>
          <t>Barthel Index（BI）, FIM</t>
        </is>
      </c>
      <c r="AB107" s="3" t="inlineStr">
        <is>
          <t>MMSE, HDS-R, MoCA, AMTS</t>
        </is>
      </c>
      <c r="AD107" s="3" t="inlineStr">
        <is>
          <t>実施していない</t>
        </is>
      </c>
      <c r="AE107" s="3" t="inlineStr">
        <is>
          <t>決まった評価項目を設けていない</t>
        </is>
      </c>
      <c r="AI107" s="3" t="inlineStr">
        <is>
          <t>下肢筋力強化, バランス練習, 歩行練習, 歩容改善, 起立、着座動作練習, 環境調整, 補助具、装具の適正化, 認知面への介入, 行動面への介入</t>
        </is>
      </c>
    </row>
    <row r="108" ht="22.5" customHeight="1">
      <c r="A108" s="32" t="n">
        <v>46097.58639079861</v>
      </c>
      <c r="B108" s="3" t="inlineStr">
        <is>
          <t>理学療法士</t>
        </is>
      </c>
      <c r="C108" s="3" t="inlineStr">
        <is>
          <t>大分県済生会日田病院</t>
        </is>
      </c>
      <c r="D108" s="3" t="inlineStr">
        <is>
          <t>大分県</t>
        </is>
      </c>
      <c r="E108" s="3" t="inlineStr">
        <is>
          <t>ken.avi.hisatsune@gmail.com</t>
        </is>
      </c>
      <c r="F108" s="3" t="inlineStr">
        <is>
          <t>リハビリテーション部／理学療法士</t>
        </is>
      </c>
      <c r="G108" s="3" t="n">
        <v>63</v>
      </c>
      <c r="H108" s="3" t="n">
        <v>10</v>
      </c>
      <c r="I108" s="3" t="n">
        <v>6</v>
      </c>
      <c r="J108" s="3" t="inlineStr">
        <is>
          <t>届け出はしていないが、現在検討中である</t>
        </is>
      </c>
      <c r="K108" s="3" t="inlineStr">
        <is>
          <t>関節可動域運動, 筋力増強運動, ポジショニング, 術後リハビリテーションのオリエンテーション</t>
        </is>
      </c>
      <c r="L108" s="3" t="inlineStr">
        <is>
          <t>全症例の50％〜74％程度</t>
        </is>
      </c>
      <c r="N108" s="3" t="inlineStr">
        <is>
          <t>全症例の0％〜24％程度</t>
        </is>
      </c>
      <c r="P108" s="3" t="inlineStr">
        <is>
          <t>全症例の0％〜24％程度</t>
        </is>
      </c>
      <c r="R108" s="3" t="inlineStr">
        <is>
          <t>全症例の0％〜24％程度</t>
        </is>
      </c>
      <c r="T108" s="3" t="inlineStr">
        <is>
          <t>握力, 5回椅子立ち上がりテスト, 歩行速度, SPPB, TUG, 開眼片脚立位時間, 下腿周径</t>
        </is>
      </c>
      <c r="V108" s="3" t="inlineStr">
        <is>
          <t>J-CHS基準, TUG, 認知機能, 抑うつや意欲低下, 握力</t>
        </is>
      </c>
      <c r="X108" s="3" t="inlineStr">
        <is>
          <t>実施していない</t>
        </is>
      </c>
      <c r="Y108" s="3" t="inlineStr">
        <is>
          <t>特になし</t>
        </is>
      </c>
      <c r="Z108" s="3" t="inlineStr">
        <is>
          <t>Barthel Index（BI）, FIM</t>
        </is>
      </c>
      <c r="AB108" s="3" t="inlineStr">
        <is>
          <t>MMSE, HDS-R, AMTS</t>
        </is>
      </c>
      <c r="AD108" s="3" t="inlineStr">
        <is>
          <t>開眼片脚立位時間, TUG, 10m歩行速度, SPPB、Functional Reach Test（FRT）, 5回椅子立ち上がりテスト, 認知機能, 注意障害, 過去の転倒歴, ベッド周囲および病室環境</t>
        </is>
      </c>
      <c r="AF108" s="3" t="inlineStr">
        <is>
          <t>決まっている</t>
        </is>
      </c>
      <c r="AG108" s="3" t="inlineStr">
        <is>
          <t>術後１週間以内、術後１か月、退院前、退院後初回外来</t>
        </is>
      </c>
      <c r="AI108" s="3" t="inlineStr">
        <is>
          <t>下肢筋力強化, バランス練習, 歩行練習, 歩容改善, 起立、着座動作練習, 環境調整, 補助具、装具の適正化, 認知面への介入, 行動面への介入, 教育、指導</t>
        </is>
      </c>
    </row>
    <row r="109" ht="22.5" customHeight="1">
      <c r="A109" s="32" t="n">
        <v>46097.59093387731</v>
      </c>
      <c r="B109" s="3" t="inlineStr">
        <is>
          <t>武田治憲</t>
        </is>
      </c>
      <c r="C109" s="3" t="inlineStr">
        <is>
          <t>社会医療法人美杉会男山病院</t>
        </is>
      </c>
      <c r="D109" s="3" t="inlineStr">
        <is>
          <t>京都府</t>
        </is>
      </c>
      <c r="E109" s="3" t="inlineStr">
        <is>
          <t>riha_otokoyama@misugikai.jp</t>
        </is>
      </c>
      <c r="F109" s="3" t="inlineStr">
        <is>
          <t>リハビリテーション部/理学療法士</t>
        </is>
      </c>
      <c r="G109" s="3" t="n">
        <v>90</v>
      </c>
      <c r="H109" s="3" t="n">
        <v>24</v>
      </c>
      <c r="I109" s="3" t="n">
        <v>9</v>
      </c>
      <c r="J109" s="3" t="inlineStr">
        <is>
          <t>届け出をしておらず、検討もしていない</t>
        </is>
      </c>
      <c r="K109" s="3" t="inlineStr">
        <is>
          <t>関節可動域運動, 筋力増強運動, DVT予防, ポジショニング, 自主運動指導, 術後リハビリテーションのオリエンテーション, 離床（例：車椅子移乗,立位,歩行など）</t>
        </is>
      </c>
      <c r="L109" s="3" t="inlineStr">
        <is>
          <t>全症例の25％〜49％程度</t>
        </is>
      </c>
      <c r="N109" s="3" t="inlineStr">
        <is>
          <t>全症例の0％〜24％程度</t>
        </is>
      </c>
      <c r="P109" s="3" t="inlineStr">
        <is>
          <t>全症例の0％〜24％程度</t>
        </is>
      </c>
      <c r="R109" s="3" t="inlineStr">
        <is>
          <t>全症例の0％〜24％程度</t>
        </is>
      </c>
      <c r="T109" s="3" t="inlineStr">
        <is>
          <t>握力, 膝伸展筋力, 5回椅子立ち上がりテスト, TUG, 6分間歩行距離, 開眼片脚立位時間, 下腿周径</t>
        </is>
      </c>
      <c r="V109" s="3" t="inlineStr">
        <is>
          <t>TUG, 6分間歩行距離, 認知機能, 握力</t>
        </is>
      </c>
      <c r="X109" s="3" t="inlineStr">
        <is>
          <t>立ち上がりテスト</t>
        </is>
      </c>
      <c r="Z109" s="3" t="inlineStr">
        <is>
          <t>Barthel Index（BI）, FIM</t>
        </is>
      </c>
      <c r="AB109" s="3" t="inlineStr">
        <is>
          <t>MMSE, HDS-R</t>
        </is>
      </c>
      <c r="AD109" s="3" t="inlineStr">
        <is>
          <t>開眼片脚立位時間, Berg Balance Scale（BBS）, SPPB、Functional Reach Test（FRT）, 5回椅子立ち上がりテスト, 転倒恐怖感, 過去の転倒歴</t>
        </is>
      </c>
      <c r="AF109" s="3" t="inlineStr">
        <is>
          <t>決まっていない</t>
        </is>
      </c>
      <c r="AH109" s="3" t="inlineStr">
        <is>
          <t>全身状態や離床状況によって、実施できる時期が異なるため。</t>
        </is>
      </c>
      <c r="AI109" s="3" t="inlineStr">
        <is>
          <t>下肢筋力強化, バランス練習, 歩行練習, 歩容改善, 起立、着座動作練習, 環境調整, 補助具、装具の適正化, 教育、指導</t>
        </is>
      </c>
    </row>
    <row r="110" ht="22.5" customHeight="1">
      <c r="A110" s="32" t="n">
        <v>46097.66067390046</v>
      </c>
      <c r="B110" s="3" t="inlineStr">
        <is>
          <t>近田　浩典</t>
        </is>
      </c>
      <c r="C110" s="3" t="inlineStr">
        <is>
          <t>医療法人永井病院</t>
        </is>
      </c>
      <c r="D110" s="3" t="inlineStr">
        <is>
          <t>三重県</t>
        </is>
      </c>
      <c r="E110" s="3" t="inlineStr">
        <is>
          <t>konda@nagai-hp.or.jp</t>
        </is>
      </c>
      <c r="F110" s="3" t="inlineStr">
        <is>
          <t>リハビリテーション科　理学療法士</t>
        </is>
      </c>
      <c r="G110" s="3" t="n">
        <v>180</v>
      </c>
      <c r="H110" s="3" t="n">
        <v>42</v>
      </c>
      <c r="I110" s="3" t="n">
        <v>12</v>
      </c>
      <c r="J110" s="3" t="inlineStr">
        <is>
          <t>届け出はしていないが、現在検討中である</t>
        </is>
      </c>
      <c r="K110" s="3" t="inlineStr">
        <is>
          <t>実施していない</t>
        </is>
      </c>
      <c r="L110" s="3" t="inlineStr">
        <is>
          <t>全症例の25％〜49％程度</t>
        </is>
      </c>
      <c r="N110" s="3" t="inlineStr">
        <is>
          <t>全症例の0％〜24％程度</t>
        </is>
      </c>
      <c r="P110" s="3" t="inlineStr">
        <is>
          <t>全症例の0％〜24％程度</t>
        </is>
      </c>
      <c r="R110" s="3" t="inlineStr">
        <is>
          <t>全症例の0％〜24％程度</t>
        </is>
      </c>
      <c r="T110" s="3" t="inlineStr">
        <is>
          <t>膝伸展筋力, 歩行速度, TUG, 下腿周径</t>
        </is>
      </c>
      <c r="V110" s="3" t="inlineStr">
        <is>
          <t>TUG, 握力</t>
        </is>
      </c>
      <c r="X110" s="3" t="inlineStr">
        <is>
          <t>立ち上がりテスト</t>
        </is>
      </c>
      <c r="Z110" s="3" t="inlineStr">
        <is>
          <t>Barthel Index（BI）, FIM</t>
        </is>
      </c>
      <c r="AB110" s="3" t="inlineStr">
        <is>
          <t>MMSE, HDS-R, AMTS</t>
        </is>
      </c>
      <c r="AD110" s="3" t="inlineStr">
        <is>
          <t>定量的な下肢筋力測定, 開眼片脚立位時間, TUG, 10m歩行速度, 過去の転倒歴, 既往疾患の有無（脳血管疾患、パーキンソン病など）</t>
        </is>
      </c>
      <c r="AF110" s="3" t="inlineStr">
        <is>
          <t>決まっている</t>
        </is>
      </c>
      <c r="AG110" s="3" t="inlineStr">
        <is>
          <t>初期評価は術語3日目でその後治療が継続していれば、１か月目、３か月目、６か月目</t>
        </is>
      </c>
      <c r="AI110" s="3" t="inlineStr">
        <is>
          <t>下肢筋力強化, バランス練習, 歩行練習, 起立、着座動作練習, 認知面への介入</t>
        </is>
      </c>
    </row>
    <row r="111" ht="22.5" customHeight="1">
      <c r="A111" s="32" t="n">
        <v>46097.67322606481</v>
      </c>
      <c r="B111" s="3" t="inlineStr">
        <is>
          <t>志村　繭子</t>
        </is>
      </c>
      <c r="C111" s="3" t="inlineStr">
        <is>
          <t>医療法人社団景翠会　金沢病院</t>
        </is>
      </c>
      <c r="D111" s="3" t="inlineStr">
        <is>
          <t>神奈川県</t>
        </is>
      </c>
      <c r="E111" s="3" t="inlineStr">
        <is>
          <t>reha_2013040@yahoo.co.jp</t>
        </is>
      </c>
      <c r="F111" s="3" t="inlineStr">
        <is>
          <t>リハビリテーション科／理学療法士</t>
        </is>
      </c>
      <c r="G111" s="3" t="n">
        <v>116</v>
      </c>
      <c r="H111" s="3" t="n">
        <v>18</v>
      </c>
      <c r="I111" s="3" t="n">
        <v>3</v>
      </c>
      <c r="J111" s="3" t="inlineStr">
        <is>
          <t>届け出をしておらず、検討もしていない</t>
        </is>
      </c>
      <c r="K111" s="3" t="inlineStr">
        <is>
          <t>関節可動域運動, 筋力増強運動, 呼吸リハビリテーション, DVT予防, リラクセーション, ポジショニング, 自主運動指導, 術後リハビリテーションのオリエンテーション, 離床（例：車椅子移乗,立位,歩行など）</t>
        </is>
      </c>
      <c r="L111" s="3" t="inlineStr">
        <is>
          <t>全症例の0％〜24％程度</t>
        </is>
      </c>
      <c r="N111" s="3" t="inlineStr">
        <is>
          <t>全症例の0％〜24％程度</t>
        </is>
      </c>
      <c r="P111" s="3" t="inlineStr">
        <is>
          <t>全症例の0％〜24％程度</t>
        </is>
      </c>
      <c r="R111" s="3" t="inlineStr">
        <is>
          <t>全症例の0％〜24％程度</t>
        </is>
      </c>
      <c r="T111" s="3" t="inlineStr">
        <is>
          <t>握力, 膝伸展筋力, 歩行速度, 6分間歩行距離, 開眼片脚立位時間, 下腿周径</t>
        </is>
      </c>
      <c r="V111" s="3" t="inlineStr">
        <is>
          <t>TUG, 6分間歩行距離, 認知機能, 握力</t>
        </is>
      </c>
      <c r="X111" s="3" t="inlineStr">
        <is>
          <t>立ち上がりテスト</t>
        </is>
      </c>
      <c r="Z111" s="3" t="inlineStr">
        <is>
          <t>Barthel Index（BI）, FIM</t>
        </is>
      </c>
      <c r="AB111" s="3" t="inlineStr">
        <is>
          <t>MMSE, HDS-R, AMTS</t>
        </is>
      </c>
      <c r="AD111" s="3" t="inlineStr">
        <is>
          <t>認知機能, ベッド周囲および病室環境</t>
        </is>
      </c>
      <c r="AF111" s="3" t="inlineStr">
        <is>
          <t>決まっていない</t>
        </is>
      </c>
      <c r="AH111" s="3" t="inlineStr">
        <is>
          <t>看護部が主体であり、転倒に関しても別の委員会主体で評価を行っているため</t>
        </is>
      </c>
      <c r="AI111" s="3" t="inlineStr">
        <is>
          <t>下肢筋力強化, バランス練習, 歩行練習, 歩容改善, 起立、着座動作練習, 環境調整, 認知面への介入, 教育、指導</t>
        </is>
      </c>
    </row>
    <row r="112" ht="22.5" customHeight="1">
      <c r="A112" s="32" t="n">
        <v>46097.70763497685</v>
      </c>
      <c r="B112" s="3" t="inlineStr">
        <is>
          <t>山岸　正幸</t>
        </is>
      </c>
      <c r="C112" s="3" t="inlineStr">
        <is>
          <t>独立行政法人　国立病院機構　栃木医療センター</t>
        </is>
      </c>
      <c r="D112" s="3" t="inlineStr">
        <is>
          <t>栃木県</t>
        </is>
      </c>
      <c r="E112" s="3" t="inlineStr">
        <is>
          <t>yamagishi.masayuki.wf@mail.hosp.go.jp</t>
        </is>
      </c>
      <c r="F112" s="3" t="inlineStr">
        <is>
          <t>リハビリテーション科　理学療法士長</t>
        </is>
      </c>
      <c r="G112" s="3" t="n">
        <v>199</v>
      </c>
      <c r="H112" s="3" t="n">
        <v>12</v>
      </c>
      <c r="I112" s="3" t="n">
        <v>8</v>
      </c>
      <c r="J112" s="3" t="inlineStr">
        <is>
          <t>届け出をしておらず、検討もしていない</t>
        </is>
      </c>
      <c r="K112" s="3" t="inlineStr">
        <is>
          <t>関節可動域運動, 呼吸リハビリテーション, DVT予防, リラクセーション, ポジショニング, 自主運動指導, 術後リハビリテーションのオリエンテーション</t>
        </is>
      </c>
      <c r="L112" s="3" t="inlineStr">
        <is>
          <t>全症例の50％〜74％程度</t>
        </is>
      </c>
      <c r="M112" s="3" t="inlineStr">
        <is>
          <t>多職種連携</t>
        </is>
      </c>
      <c r="N112" s="3" t="inlineStr">
        <is>
          <t>全症例の25％〜49％程度</t>
        </is>
      </c>
      <c r="P112" s="3" t="inlineStr">
        <is>
          <t>全症例の0％〜24％程度</t>
        </is>
      </c>
      <c r="R112" s="3" t="inlineStr">
        <is>
          <t>全症例の0％〜24％程度</t>
        </is>
      </c>
      <c r="T112" s="3" t="inlineStr">
        <is>
          <t>握力, 歩行速度, TUG, 6分間歩行距離</t>
        </is>
      </c>
      <c r="V112" s="3" t="inlineStr">
        <is>
          <t>握力</t>
        </is>
      </c>
      <c r="X112" s="3" t="inlineStr">
        <is>
          <t>2ステップテスト</t>
        </is>
      </c>
      <c r="Z112" s="3" t="inlineStr">
        <is>
          <t>Barthel Index（BI）</t>
        </is>
      </c>
      <c r="AB112" s="3" t="inlineStr">
        <is>
          <t>MMSE, HDS-R</t>
        </is>
      </c>
      <c r="AD112" s="3" t="inlineStr">
        <is>
          <t>定量的な下肢筋力測定, 開眼片脚立位時間, TUG, Berg Balance Scale（BBS）, 深部感覚評価, 認知機能, 注意障害, 過去の転倒歴, 既往疾患の有無（脳血管疾患、パーキンソン病など）, 薬剤（向精神薬、降圧薬、利尿薬、ポリファーマシーなど）, ベッド周囲および病室環境</t>
        </is>
      </c>
      <c r="AF112" s="3" t="inlineStr">
        <is>
          <t>決まっていない</t>
        </is>
      </c>
      <c r="AI112" s="3" t="inlineStr">
        <is>
          <t>下肢筋力強化, バランス練習, 歩行練習, 歩容改善, 起立、着座動作練習, 環境調整, 補助具、装具の適正化, 認知面への介入, 行動面への介入, 薬剤調整, 教育、指導</t>
        </is>
      </c>
    </row>
    <row r="113" ht="22.5" customHeight="1">
      <c r="A113" s="32" t="n">
        <v>46097.729595</v>
      </c>
      <c r="B113" s="3" t="inlineStr">
        <is>
          <t>大内　尊久</t>
        </is>
      </c>
      <c r="C113" s="3" t="inlineStr">
        <is>
          <t>公立岩瀬病院</t>
        </is>
      </c>
      <c r="D113" s="3" t="inlineStr">
        <is>
          <t>福島県</t>
        </is>
      </c>
      <c r="E113" s="3" t="inlineStr">
        <is>
          <t>kikakujyouhou@iwase-hp.jp</t>
        </is>
      </c>
      <c r="F113" s="3" t="inlineStr">
        <is>
          <t>リハビリテーション室　作業療法士</t>
        </is>
      </c>
      <c r="G113" s="3" t="n">
        <v>71</v>
      </c>
      <c r="H113" s="3" t="n">
        <v>9</v>
      </c>
      <c r="I113" s="3" t="n">
        <v>5</v>
      </c>
      <c r="J113" s="3" t="inlineStr">
        <is>
          <t>届け出をしておらず、検討もしていない</t>
        </is>
      </c>
      <c r="K113" s="3" t="inlineStr">
        <is>
          <t>関節可動域運動, 筋力増強運動, 全患者ではなく状態に応じて主治医の指示により実施</t>
        </is>
      </c>
      <c r="L113" s="3" t="inlineStr">
        <is>
          <t>全症例の75％〜100％程度</t>
        </is>
      </c>
      <c r="M113" s="3" t="inlineStr">
        <is>
          <t>午前、午後それぞれで積極的に介入</t>
        </is>
      </c>
      <c r="N113" s="3" t="inlineStr">
        <is>
          <t>全症例の25％〜49％程度</t>
        </is>
      </c>
      <c r="P113" s="3" t="inlineStr">
        <is>
          <t>全症例の0％〜24％程度</t>
        </is>
      </c>
      <c r="R113" s="3" t="inlineStr">
        <is>
          <t>全症例の0％〜24％程度</t>
        </is>
      </c>
      <c r="T113" s="3" t="inlineStr">
        <is>
          <t>握力, 膝伸展筋力</t>
        </is>
      </c>
      <c r="V113" s="3" t="inlineStr">
        <is>
          <t>実施していない</t>
        </is>
      </c>
      <c r="W113" s="3" t="inlineStr">
        <is>
          <t>職場としてお取り組みはないが、担当者の判断で実施することもある</t>
        </is>
      </c>
      <c r="X113" s="3" t="inlineStr">
        <is>
          <t>立ち上がりテスト, 2ステップテスト, ロコモ25（質問票）</t>
        </is>
      </c>
      <c r="Z113" s="3" t="inlineStr">
        <is>
          <t>Barthel Index（BI）, FIM</t>
        </is>
      </c>
      <c r="AB113" s="3" t="inlineStr">
        <is>
          <t>HDS-R</t>
        </is>
      </c>
      <c r="AD113" s="3" t="inlineStr">
        <is>
          <t>実施していない</t>
        </is>
      </c>
      <c r="AE113" s="3" t="inlineStr">
        <is>
          <t>職場としての取り組みはないが、担当者の判断で実施することがある</t>
        </is>
      </c>
      <c r="AI113" s="3" t="inlineStr">
        <is>
          <t>下肢筋力強化, バランス練習, 歩行練習, 歩容改善, 起立、着座動作練習, 環境調整, 補助具、装具の適正化, 認知面への介入</t>
        </is>
      </c>
    </row>
    <row r="114" ht="22.5" customHeight="1">
      <c r="A114" s="32" t="n">
        <v>46097.73777706019</v>
      </c>
      <c r="B114" s="3" t="inlineStr">
        <is>
          <t>佐藤　剣心</t>
        </is>
      </c>
      <c r="C114" s="3" t="inlineStr">
        <is>
          <t>三重北医療センターいなべ総合病院</t>
        </is>
      </c>
      <c r="D114" s="3" t="inlineStr">
        <is>
          <t>三重県</t>
        </is>
      </c>
      <c r="E114" s="3" t="inlineStr">
        <is>
          <t>yukie.kanbayashi@miekosei.or.jp</t>
        </is>
      </c>
      <c r="F114" s="3" t="inlineStr">
        <is>
          <t>リハビリテーション科／理学療法士</t>
        </is>
      </c>
      <c r="G114" s="3" t="n">
        <v>96</v>
      </c>
      <c r="H114" s="3" t="n">
        <v>12</v>
      </c>
      <c r="I114" s="3" t="n">
        <v>0</v>
      </c>
      <c r="J114" s="3" t="inlineStr">
        <is>
          <t>届け出をしておらず、検討もしていない</t>
        </is>
      </c>
      <c r="K114" s="3" t="inlineStr">
        <is>
          <t>DVT予防, 自主運動指導</t>
        </is>
      </c>
      <c r="L114" s="3" t="inlineStr">
        <is>
          <t>全症例の75％〜100％程度</t>
        </is>
      </c>
      <c r="N114" s="3" t="inlineStr">
        <is>
          <t>全症例の25％〜49％程度</t>
        </is>
      </c>
      <c r="P114" s="3" t="inlineStr">
        <is>
          <t>全症例の25％〜49％程度</t>
        </is>
      </c>
      <c r="R114" s="3" t="inlineStr">
        <is>
          <t>全症例の0％〜24％程度</t>
        </is>
      </c>
      <c r="T114" s="3" t="inlineStr">
        <is>
          <t>握力, SPPB, 下腿周径</t>
        </is>
      </c>
      <c r="V114" s="3" t="inlineStr">
        <is>
          <t>握力</t>
        </is>
      </c>
      <c r="X114" s="3" t="inlineStr">
        <is>
          <t>実施していない</t>
        </is>
      </c>
      <c r="Z114" s="3" t="inlineStr">
        <is>
          <t>FIM</t>
        </is>
      </c>
      <c r="AB114" s="3" t="inlineStr">
        <is>
          <t>AMTS</t>
        </is>
      </c>
      <c r="AD114" s="3" t="inlineStr">
        <is>
          <t>TUG, SPPB、Functional Reach Test（FRT）</t>
        </is>
      </c>
      <c r="AF114" s="3" t="inlineStr">
        <is>
          <t>わからない</t>
        </is>
      </c>
      <c r="AI114" s="3" t="inlineStr">
        <is>
          <t>下肢筋力強化, バランス練習, 歩行練習, 歩容改善, 起立、着座動作練習, 環境調整, 補助具、装具の適正化</t>
        </is>
      </c>
    </row>
    <row r="115" ht="22.5" customHeight="1">
      <c r="A115" s="32" t="n">
        <v>46097.75166457176</v>
      </c>
      <c r="B115" s="3" t="inlineStr">
        <is>
          <t>村上梓</t>
        </is>
      </c>
      <c r="C115" s="3" t="inlineStr">
        <is>
          <t>奈良県総合医療センター</t>
        </is>
      </c>
      <c r="D115" s="3" t="inlineStr">
        <is>
          <t>奈良県</t>
        </is>
      </c>
      <c r="E115" s="3" t="inlineStr">
        <is>
          <t>m.azusan5414@gmail.com</t>
        </is>
      </c>
      <c r="F115" s="3" t="inlineStr">
        <is>
          <t>リハビリテーション部/理学療法士</t>
        </is>
      </c>
      <c r="G115" s="3" t="n">
        <v>40</v>
      </c>
      <c r="H115" s="3" t="n">
        <v>8</v>
      </c>
      <c r="I115" s="3" t="n">
        <v>7</v>
      </c>
      <c r="J115" s="3" t="inlineStr">
        <is>
          <t>届け出をしておらず、検討もしていない</t>
        </is>
      </c>
      <c r="K115" s="3" t="inlineStr">
        <is>
          <t>実施していない</t>
        </is>
      </c>
      <c r="L115" s="3" t="inlineStr">
        <is>
          <t>全症例の0％〜24％程度</t>
        </is>
      </c>
      <c r="N115" s="3" t="inlineStr">
        <is>
          <t>全症例の0％〜24％程度</t>
        </is>
      </c>
      <c r="P115" s="3" t="inlineStr">
        <is>
          <t>全症例の0％〜24％程度</t>
        </is>
      </c>
      <c r="R115" s="3" t="inlineStr">
        <is>
          <t>全症例の0％〜24％程度</t>
        </is>
      </c>
      <c r="T115" s="3" t="inlineStr">
        <is>
          <t>握力, 膝伸展筋力, 歩行速度, SPPB, TUG</t>
        </is>
      </c>
      <c r="V115" s="3" t="inlineStr">
        <is>
          <t>J-CHS基準, 認知機能</t>
        </is>
      </c>
      <c r="X115" s="3" t="inlineStr">
        <is>
          <t>立ち上がりテスト</t>
        </is>
      </c>
      <c r="Z115" s="3" t="inlineStr">
        <is>
          <t>Barthel Index（BI）, FIM</t>
        </is>
      </c>
      <c r="AB115" s="3" t="inlineStr">
        <is>
          <t>MMSE, MoCA</t>
        </is>
      </c>
      <c r="AD115" s="3" t="inlineStr">
        <is>
          <t>定量的な下肢筋力測定, TUG, 10m歩行速度, Berg Balance Scale（BBS）, SPPB、Functional Reach Test（FRT）</t>
        </is>
      </c>
      <c r="AF115" s="3" t="inlineStr">
        <is>
          <t>決まっていない</t>
        </is>
      </c>
      <c r="AH115" s="3" t="inlineStr">
        <is>
          <t>患者さんそれぞれの離床具合で検査時期をそれぞれの療法士が判断し検査を実施している</t>
        </is>
      </c>
      <c r="AI115" s="3" t="inlineStr">
        <is>
          <t>下肢筋力強化, バランス練習, 歩行練習, 歩容改善, 起立、着座動作練習, 環境調整, 補助具、装具の適正化, 認知面への介入, 行動面への介入, 教育、指導</t>
        </is>
      </c>
    </row>
    <row r="116" ht="22.5" customHeight="1">
      <c r="A116" s="32" t="n">
        <v>46097.78779788195</v>
      </c>
      <c r="B116" s="3" t="inlineStr">
        <is>
          <t>市加　裕弥</t>
        </is>
      </c>
      <c r="C116" s="3" t="inlineStr">
        <is>
          <t>マツダ株式会社　マツダ病院</t>
        </is>
      </c>
      <c r="D116" s="3" t="inlineStr">
        <is>
          <t>広島県</t>
        </is>
      </c>
      <c r="E116" s="3" t="inlineStr">
        <is>
          <t>ichika.y@mazda.co.jp</t>
        </is>
      </c>
      <c r="F116" s="3" t="inlineStr">
        <is>
          <t>リハビリテーション科／理学療法士</t>
        </is>
      </c>
      <c r="G116" s="3" t="n">
        <v>138</v>
      </c>
      <c r="H116" s="3" t="n">
        <v>18</v>
      </c>
      <c r="I116" s="3" t="n">
        <v>7</v>
      </c>
      <c r="J116" s="3" t="inlineStr">
        <is>
          <t>届け出はしていないが、現在検討中である</t>
        </is>
      </c>
      <c r="K116" s="3" t="inlineStr">
        <is>
          <t>実施していない</t>
        </is>
      </c>
      <c r="L116" s="3" t="inlineStr">
        <is>
          <t>全症例の50％〜74％程度</t>
        </is>
      </c>
      <c r="M116" s="3" t="inlineStr">
        <is>
          <t>周術期対応チームと他職種連携した疼痛コントロール</t>
        </is>
      </c>
      <c r="N116" s="3" t="inlineStr">
        <is>
          <t>全症例の0％〜24％程度</t>
        </is>
      </c>
      <c r="P116" s="3" t="inlineStr">
        <is>
          <t>全症例の0％〜24％程度</t>
        </is>
      </c>
      <c r="R116" s="3" t="inlineStr">
        <is>
          <t>全症例の0％〜24％程度</t>
        </is>
      </c>
      <c r="T116" s="3" t="inlineStr">
        <is>
          <t>握力, TUG, 開眼片脚立位時間, 骨格筋量指数（SMI）, 四肢骨格筋量（ASM）</t>
        </is>
      </c>
      <c r="V116" s="3" t="inlineStr">
        <is>
          <t>TUG, 握力</t>
        </is>
      </c>
      <c r="X116" s="3" t="inlineStr">
        <is>
          <t>実施していない</t>
        </is>
      </c>
      <c r="Y116" s="3" t="inlineStr">
        <is>
          <t>マンパワー不足</t>
        </is>
      </c>
      <c r="Z116" s="3" t="inlineStr">
        <is>
          <t>Barthel Index（BI）, FIM</t>
        </is>
      </c>
      <c r="AB116" s="3" t="inlineStr">
        <is>
          <t>MMSE, HDS-R, AMTS</t>
        </is>
      </c>
      <c r="AD116" s="3" t="inlineStr">
        <is>
          <t>定量的な下肢筋力測定, 開眼片脚立位時間, TUG, 5回椅子立ち上がりテスト, 認知機能, 注意障害, せん妄, 過去の転倒歴, 既往疾患の有無（脳血管疾患、パーキンソン病など）, 薬剤（向精神薬、降圧薬、利尿薬、ポリファーマシーなど）, ベッド周囲および病室環境</t>
        </is>
      </c>
      <c r="AF116" s="3" t="inlineStr">
        <is>
          <t>決まっている</t>
        </is>
      </c>
      <c r="AG116" s="3" t="inlineStr">
        <is>
          <t>1年ごと</t>
        </is>
      </c>
      <c r="AI116" s="3" t="inlineStr">
        <is>
          <t>下肢筋力強化, バランス練習, 歩行練習, 歩容改善, 起立、着座動作練習, 環境調整, 補助具、装具の適正化, 認知面への介入, 薬剤調整, 教育、指導</t>
        </is>
      </c>
    </row>
    <row r="117" ht="22.5" customHeight="1">
      <c r="A117" s="32" t="n">
        <v>46097.87120376158</v>
      </c>
      <c r="B117" s="3" t="inlineStr">
        <is>
          <t>青木　寛幸</t>
        </is>
      </c>
      <c r="C117" s="3" t="inlineStr">
        <is>
          <t>JCHO船橋中央病院</t>
        </is>
      </c>
      <c r="D117" s="3" t="inlineStr">
        <is>
          <t>千葉県</t>
        </is>
      </c>
      <c r="E117" s="3" t="inlineStr">
        <is>
          <t>aoki-hiroyuki@funabashi.jcho.go.jp</t>
        </is>
      </c>
      <c r="F117" s="3" t="inlineStr">
        <is>
          <t>リハビリテーション科診療部／理学療法士</t>
        </is>
      </c>
      <c r="G117" s="3" t="n">
        <v>116</v>
      </c>
      <c r="H117" s="3" t="n">
        <v>7</v>
      </c>
      <c r="I117" s="3" t="n">
        <v>1</v>
      </c>
      <c r="J117" s="3" t="inlineStr">
        <is>
          <t>届け出をしておらず、検討もしていない</t>
        </is>
      </c>
      <c r="K117" s="3" t="inlineStr">
        <is>
          <t>関節可動域運動, 術後リハビリテーションのオリエンテーション</t>
        </is>
      </c>
      <c r="L117" s="3" t="inlineStr">
        <is>
          <t>全症例の75％〜100％程度</t>
        </is>
      </c>
      <c r="M117" s="3" t="inlineStr">
        <is>
          <t>早期離床（医師の指示受け後、早期に車いすへ移乗）</t>
        </is>
      </c>
      <c r="N117" s="3" t="inlineStr">
        <is>
          <t>全症例の25％〜49％程度</t>
        </is>
      </c>
      <c r="P117" s="3" t="inlineStr">
        <is>
          <t>全症例の0％〜24％程度</t>
        </is>
      </c>
      <c r="R117" s="3" t="inlineStr">
        <is>
          <t>全症例の0％〜24％程度</t>
        </is>
      </c>
      <c r="T117" s="3" t="inlineStr">
        <is>
          <t>実施していない</t>
        </is>
      </c>
      <c r="U117" s="3" t="inlineStr">
        <is>
          <t>サルコペニアの評価としては行っていない</t>
        </is>
      </c>
      <c r="V117" s="3" t="inlineStr">
        <is>
          <t>実施していない</t>
        </is>
      </c>
      <c r="W117" s="3" t="inlineStr">
        <is>
          <t>フレイルの評価としては行っていない</t>
        </is>
      </c>
      <c r="X117" s="3" t="inlineStr">
        <is>
          <t>実施していない</t>
        </is>
      </c>
      <c r="Y117" s="3" t="inlineStr">
        <is>
          <t>術後（特に術直後）の患者は転倒リスクが非常に高いため、実施していない</t>
        </is>
      </c>
      <c r="Z117" s="3" t="inlineStr">
        <is>
          <t>Barthel Index（BI）, FIM</t>
        </is>
      </c>
      <c r="AB117" s="3" t="inlineStr">
        <is>
          <t>HDS-R</t>
        </is>
      </c>
      <c r="AD117" s="3" t="inlineStr">
        <is>
          <t>開眼片脚立位時間, 10m歩行速度, 既往疾患の有無（脳血管疾患、パーキンソン病など）</t>
        </is>
      </c>
      <c r="AF117" s="3" t="inlineStr">
        <is>
          <t>決まっている</t>
        </is>
      </c>
      <c r="AG117" s="3" t="inlineStr">
        <is>
          <t>術後７日目</t>
        </is>
      </c>
      <c r="AI117" s="3" t="inlineStr">
        <is>
          <t>下肢筋力強化, バランス練習, 歩行練習, 歩容改善, 起立、着座動作練習, 環境調整, 補助具、装具の適正化, 教育、指導</t>
        </is>
      </c>
    </row>
    <row r="118" ht="22.5" customHeight="1">
      <c r="A118" s="32" t="n">
        <v>46098.34510144676</v>
      </c>
      <c r="B118" s="3" t="inlineStr">
        <is>
          <t>加藤木　丈英</t>
        </is>
      </c>
      <c r="C118" s="3" t="inlineStr">
        <is>
          <t>聖隷佐倉市民病院</t>
        </is>
      </c>
      <c r="D118" s="3" t="inlineStr">
        <is>
          <t>千葉県</t>
        </is>
      </c>
      <c r="E118" s="3" t="inlineStr">
        <is>
          <t>t.enjoyfootball.k@gmail.com</t>
        </is>
      </c>
      <c r="F118" s="3" t="inlineStr">
        <is>
          <t>リハビリテーション室／理学療法士</t>
        </is>
      </c>
      <c r="G118" s="3" t="n">
        <v>216</v>
      </c>
      <c r="H118" s="3" t="n">
        <v>11</v>
      </c>
      <c r="I118" s="3" t="n">
        <v>2</v>
      </c>
      <c r="J118" s="3" t="inlineStr">
        <is>
          <t>届け出はしていないが、現在検討中である</t>
        </is>
      </c>
      <c r="K118" s="3" t="inlineStr">
        <is>
          <t>実施していない</t>
        </is>
      </c>
      <c r="L118" s="3" t="inlineStr">
        <is>
          <t>全症例の0％〜24％程度</t>
        </is>
      </c>
      <c r="N118" s="3" t="inlineStr">
        <is>
          <t>全症例の0％〜24％程度</t>
        </is>
      </c>
      <c r="P118" s="3" t="inlineStr">
        <is>
          <t>全症例の0％〜24％程度</t>
        </is>
      </c>
      <c r="R118" s="3" t="inlineStr">
        <is>
          <t>全症例の0％〜24％程度</t>
        </is>
      </c>
      <c r="T118" s="3" t="inlineStr">
        <is>
          <t>握力, SPPB, TUG, GNRI</t>
        </is>
      </c>
      <c r="V118" s="3" t="inlineStr">
        <is>
          <t>TUG, 認知機能, GNRI, 握力</t>
        </is>
      </c>
      <c r="X118" s="3" t="inlineStr">
        <is>
          <t>立ち上がりテスト</t>
        </is>
      </c>
      <c r="Z118" s="3" t="inlineStr">
        <is>
          <t>Barthel Index（BI）</t>
        </is>
      </c>
      <c r="AB118" s="3" t="inlineStr">
        <is>
          <t>MMSE, HDS-R</t>
        </is>
      </c>
      <c r="AD118" s="3" t="inlineStr">
        <is>
          <t>開眼片脚立位時間, TUG, SPPB、Functional Reach Test（FRT）, 過去の転倒歴, ベッド周囲および病室環境</t>
        </is>
      </c>
      <c r="AF118" s="3" t="inlineStr">
        <is>
          <t>決まっていない</t>
        </is>
      </c>
      <c r="AH118" s="3" t="inlineStr">
        <is>
          <t>患者の個別性が高いため。</t>
        </is>
      </c>
      <c r="AI118" s="3" t="inlineStr">
        <is>
          <t>下肢筋力強化, バランス練習, 歩行練習, 環境調整, 補助具、装具の適正化, 認知面への介入, 教育、指導</t>
        </is>
      </c>
    </row>
    <row r="119" ht="22.5" customHeight="1">
      <c r="A119" s="32" t="n">
        <v>46098.3720946875</v>
      </c>
      <c r="B119" s="3" t="inlineStr">
        <is>
          <t>石川　達也</t>
        </is>
      </c>
      <c r="C119" s="3" t="inlineStr">
        <is>
          <t>医療法人賀新会　プライムホスピタル玉島</t>
        </is>
      </c>
      <c r="D119" s="3" t="inlineStr">
        <is>
          <t>岡山県</t>
        </is>
      </c>
      <c r="E119" s="3" t="inlineStr">
        <is>
          <t>rehabilitation.h@primehospital.or.jp</t>
        </is>
      </c>
      <c r="F119" s="3" t="inlineStr">
        <is>
          <t>リハビリテーション課/理学療法士</t>
        </is>
      </c>
      <c r="G119" s="3" t="n">
        <v>126</v>
      </c>
      <c r="H119" s="3" t="n">
        <v>12</v>
      </c>
      <c r="I119" s="3" t="n">
        <v>3</v>
      </c>
      <c r="J119" s="3" t="inlineStr">
        <is>
          <t>届け出はしていないが、現在検討中である</t>
        </is>
      </c>
      <c r="K119" s="3" t="inlineStr">
        <is>
          <t>関節可動域運動, 筋力増強運動, 呼吸リハビリテーション, DVT予防, リラクセーション, ポジショニング, 自主運動指導, 術後リハビリテーションのオリエンテーション</t>
        </is>
      </c>
      <c r="L119" s="3" t="inlineStr">
        <is>
          <t>全症例の75％〜100％程度</t>
        </is>
      </c>
      <c r="M119" s="3" t="inlineStr">
        <is>
          <t>高齢者が多い為、翌日は端坐位までの安静度が多い</t>
        </is>
      </c>
      <c r="N119" s="3" t="inlineStr">
        <is>
          <t>全症例の0％〜24％程度</t>
        </is>
      </c>
      <c r="P119" s="3" t="inlineStr">
        <is>
          <t>全症例の25％〜49％程度</t>
        </is>
      </c>
      <c r="R119" s="3" t="inlineStr">
        <is>
          <t>全症例の0％〜24％程度</t>
        </is>
      </c>
      <c r="T119" s="3" t="inlineStr">
        <is>
          <t>握力, 膝伸展筋力, 歩行速度, SPPB, TUG, 6分間歩行距離, 開眼片脚立位時間, 骨格筋量指数（SMI）, 四肢骨格筋量（ASM）</t>
        </is>
      </c>
      <c r="V119" s="3" t="inlineStr">
        <is>
          <t>TUG, 握力</t>
        </is>
      </c>
      <c r="X119" s="3" t="inlineStr">
        <is>
          <t>立ち上がりテスト, 2ステップテスト</t>
        </is>
      </c>
      <c r="Z119" s="3" t="inlineStr">
        <is>
          <t>Barthel Index（BI）, FIM</t>
        </is>
      </c>
      <c r="AB119" s="3" t="inlineStr">
        <is>
          <t>MMSE, HDS-R</t>
        </is>
      </c>
      <c r="AD119" s="3" t="inlineStr">
        <is>
          <t>定量的な下肢筋力測定, 開眼片脚立位時間, TUG, SPPB、Functional Reach Test（FRT）, 認知機能, せん妄, 過去の転倒歴, 既往疾患の有無（脳血管疾患、パーキンソン病など）, ベッド周囲および病室環境</t>
        </is>
      </c>
      <c r="AF119" s="3" t="inlineStr">
        <is>
          <t>決まっていない</t>
        </is>
      </c>
      <c r="AH119" s="3" t="inlineStr">
        <is>
          <t>循環動態不良の患者さんも多いため</t>
        </is>
      </c>
      <c r="AI119" s="3" t="inlineStr">
        <is>
          <t>下肢筋力強化, バランス練習, 歩行練習, 歩容改善, 起立、着座動作練習, 環境調整, 補助具、装具の適正化, 認知面への介入, 行動面への介入, 教育、指導</t>
        </is>
      </c>
    </row>
    <row r="120" ht="22.5" customHeight="1">
      <c r="A120" s="32" t="n">
        <v>46098.38456456018</v>
      </c>
      <c r="B120" s="3" t="inlineStr">
        <is>
          <t>瀬川　光汰</t>
        </is>
      </c>
      <c r="C120" s="3" t="inlineStr">
        <is>
          <t>医療法人社団　明芳会　横浜旭中央総合病院</t>
        </is>
      </c>
      <c r="D120" s="3" t="inlineStr">
        <is>
          <t>神奈川県</t>
        </is>
      </c>
      <c r="E120" s="3" t="inlineStr">
        <is>
          <t>asachureha@yahoo.co.jp</t>
        </is>
      </c>
      <c r="F120" s="3" t="inlineStr">
        <is>
          <t>リハビリテーションセンター/理学療法士</t>
        </is>
      </c>
      <c r="G120" s="3" t="n">
        <v>296</v>
      </c>
      <c r="H120" s="3" t="n">
        <v>49</v>
      </c>
      <c r="I120" s="3" t="n">
        <v>20</v>
      </c>
      <c r="J120" s="3" t="inlineStr">
        <is>
          <t>現在、算定している</t>
        </is>
      </c>
      <c r="K120" s="3" t="inlineStr">
        <is>
          <t>関節可動域運動, 筋力増強運動, DVT予防, リラクセーション, ポジショニング, 自主運動指導, 術後リハビリテーションのオリエンテーション</t>
        </is>
      </c>
      <c r="L120" s="3" t="inlineStr">
        <is>
          <t>全症例の50％〜74％程度</t>
        </is>
      </c>
      <c r="M120" s="3" t="inlineStr">
        <is>
          <t>除痛に向け訓練実施。</t>
        </is>
      </c>
      <c r="N120" s="3" t="inlineStr">
        <is>
          <t>全症例の0％〜24％程度</t>
        </is>
      </c>
      <c r="P120" s="3" t="inlineStr">
        <is>
          <t>全症例の0％〜24％程度</t>
        </is>
      </c>
      <c r="R120" s="3" t="inlineStr">
        <is>
          <t>全症例の0％〜24％程度</t>
        </is>
      </c>
      <c r="T120" s="3" t="inlineStr">
        <is>
          <t>TUG, 下腿周径</t>
        </is>
      </c>
      <c r="V120" s="3" t="inlineStr">
        <is>
          <t>TUG, 認知機能</t>
        </is>
      </c>
      <c r="X120" s="3" t="inlineStr">
        <is>
          <t>実施していない</t>
        </is>
      </c>
      <c r="Y120" s="3" t="inlineStr">
        <is>
          <t>必要性がないため</t>
        </is>
      </c>
      <c r="Z120" s="3" t="inlineStr">
        <is>
          <t>Barthel Index（BI）, FIM</t>
        </is>
      </c>
      <c r="AB120" s="3" t="inlineStr">
        <is>
          <t>MMSE, HDS-R</t>
        </is>
      </c>
      <c r="AD120" s="3" t="inlineStr">
        <is>
          <t>TUG, 10m歩行速度, Berg Balance Scale（BBS）, 認知機能, 注意障害, 遂行機能, せん妄, 転倒恐怖感, 過去の転倒歴, 既往疾患の有無（脳血管疾患、パーキンソン病など）, 薬剤（向精神薬、降圧薬、利尿薬、ポリファーマシーなど）</t>
        </is>
      </c>
      <c r="AF120" s="3" t="inlineStr">
        <is>
          <t>決まっていない</t>
        </is>
      </c>
      <c r="AH120" s="3" t="inlineStr">
        <is>
          <t>対象者によってことなるため定義できていない</t>
        </is>
      </c>
      <c r="AI120" s="3" t="inlineStr">
        <is>
          <t>下肢筋力強化, バランス練習, 歩行練習, 歩容改善, 起立、着座動作練習, 環境調整, 補助具、装具の適正化, 認知面への介入, 行動面への介入, 教育、指導</t>
        </is>
      </c>
    </row>
    <row r="121" ht="22.5" customHeight="1">
      <c r="A121" s="32" t="n">
        <v>46098.40914797454</v>
      </c>
      <c r="B121" s="3" t="inlineStr">
        <is>
          <t>山田浩二</t>
        </is>
      </c>
      <c r="C121" s="3" t="inlineStr">
        <is>
          <t>社会福祉法人恩賜財団済生会熊本病院</t>
        </is>
      </c>
      <c r="D121" s="3" t="inlineStr">
        <is>
          <t>熊本県</t>
        </is>
      </c>
      <c r="E121" s="3" t="inlineStr">
        <is>
          <t>kouji-yamada@saiseikaikumamoto.jp</t>
        </is>
      </c>
      <c r="F121" s="3" t="inlineStr">
        <is>
          <t>リハビリテーション部/理学療法士</t>
        </is>
      </c>
      <c r="G121" s="3" t="n">
        <v>407</v>
      </c>
      <c r="H121" s="3" t="n">
        <v>22</v>
      </c>
      <c r="I121" s="3" t="n">
        <v>8</v>
      </c>
      <c r="J121" s="3" t="inlineStr">
        <is>
          <t>届け出はしていないが、現在検討中である</t>
        </is>
      </c>
      <c r="K121" s="3" t="inlineStr">
        <is>
          <t>関節可動域運動, 筋力増強運動, 呼吸リハビリテーション, DVT予防, リラクセーション, ポジショニング, 自主運動指導, 術後リハビリテーションのオリエンテーション, 離床（例：車椅子移乗,立位,歩行など）</t>
        </is>
      </c>
      <c r="L121" s="3" t="inlineStr">
        <is>
          <t>全症例の0％〜24％程度</t>
        </is>
      </c>
      <c r="N121" s="3" t="inlineStr">
        <is>
          <t>全症例の0％〜24％程度</t>
        </is>
      </c>
      <c r="P121" s="3" t="inlineStr">
        <is>
          <t>全症例の0％〜24％程度</t>
        </is>
      </c>
      <c r="R121" s="3" t="inlineStr">
        <is>
          <t>全症例の0％〜24％程度</t>
        </is>
      </c>
      <c r="T121" s="3" t="inlineStr">
        <is>
          <t>握力</t>
        </is>
      </c>
      <c r="V121" s="3" t="inlineStr">
        <is>
          <t>TUG, 握力, Clinical Frailty Scale、障害高齢者の日常生活自立度、Berg Balance Scale</t>
        </is>
      </c>
      <c r="X121" s="3" t="inlineStr">
        <is>
          <t>実施していない</t>
        </is>
      </c>
      <c r="Z121" s="3" t="inlineStr">
        <is>
          <t>Barthel Index（BI）, FIM</t>
        </is>
      </c>
      <c r="AB121" s="3" t="inlineStr">
        <is>
          <t>MMSE, HDS-R, MoCA, 4AT-J</t>
        </is>
      </c>
      <c r="AD121" s="3" t="inlineStr">
        <is>
          <t>TUG, Berg Balance Scale（BBS）, 認知機能, せん妄, 過去の転倒歴, 既往疾患の有無（脳血管疾患、パーキンソン病など）, 薬剤（向精神薬、降圧薬、利尿薬、ポリファーマシーなど）, ベッド周囲および病室環境</t>
        </is>
      </c>
      <c r="AF121" s="3" t="inlineStr">
        <is>
          <t>決まっていない</t>
        </is>
      </c>
      <c r="AH121" s="3" t="inlineStr">
        <is>
          <t>10m以上の歩行が可能で日常の病棟内移動が歩行車以上で自立 or スタッフ監視レベルに到達した患者のみを対象としているため（急性期病院のため多くの患者は基準到達前に転院）</t>
        </is>
      </c>
      <c r="AI121" s="3" t="inlineStr">
        <is>
          <t>下肢筋力強化, バランス練習, 歩行練習, 歩容改善, 起立、着座動作練習, 環境調整, 補助具、装具の適正化, 認知面への介入, 行動面への介入, 教育、指導</t>
        </is>
      </c>
    </row>
    <row r="122" ht="22.5" customHeight="1">
      <c r="A122" s="32" t="n">
        <v>46098.42543611111</v>
      </c>
      <c r="B122" s="3" t="inlineStr">
        <is>
          <t>勝野涼子</t>
        </is>
      </c>
      <c r="C122" s="3" t="inlineStr">
        <is>
          <t>徳島健生病院</t>
        </is>
      </c>
      <c r="D122" s="3" t="inlineStr">
        <is>
          <t>徳島県</t>
        </is>
      </c>
      <c r="E122" s="3" t="inlineStr">
        <is>
          <t>riha@kenkou-seikyou.com</t>
        </is>
      </c>
      <c r="F122" s="3" t="inlineStr">
        <is>
          <t>リハビリテーション科/理学療法士</t>
        </is>
      </c>
      <c r="G122" s="3" t="n">
        <v>87</v>
      </c>
      <c r="H122" s="3" t="n">
        <v>22</v>
      </c>
      <c r="I122" s="3" t="n">
        <v>14</v>
      </c>
      <c r="J122" s="3" t="inlineStr">
        <is>
          <t>届け出はしていないが、現在検討中である</t>
        </is>
      </c>
      <c r="K122" s="3" t="inlineStr">
        <is>
          <t>関節可動域運動, 筋力増強運動, DVT予防, リラクセーション, ポジショニング, 自主運動指導, 術後リハビリテーションのオリエンテーション</t>
        </is>
      </c>
      <c r="L122" s="3" t="inlineStr">
        <is>
          <t>全症例の0％〜24％程度</t>
        </is>
      </c>
      <c r="N122" s="3" t="inlineStr">
        <is>
          <t>全症例の0％〜24％程度</t>
        </is>
      </c>
      <c r="P122" s="3" t="inlineStr">
        <is>
          <t>全症例の0％〜24％程度</t>
        </is>
      </c>
      <c r="R122" s="3" t="inlineStr">
        <is>
          <t>全症例の0％〜24％程度</t>
        </is>
      </c>
      <c r="T122" s="3" t="inlineStr">
        <is>
          <t>握力, 膝伸展筋力, 5回椅子立ち上がりテスト, 歩行速度, SPPB, TUG, 6分間歩行距離, 開眼片脚立位時間, 骨格筋量指数（SMI）, 四肢骨格筋量（ASM）, 下腿周径</t>
        </is>
      </c>
      <c r="V122" s="3" t="inlineStr">
        <is>
          <t>TUG, 6分間歩行距離, 認知機能, 握力</t>
        </is>
      </c>
      <c r="X122" s="3" t="inlineStr">
        <is>
          <t>実施していない</t>
        </is>
      </c>
      <c r="Y122" s="3" t="inlineStr">
        <is>
          <t>他の評価を実施しているため</t>
        </is>
      </c>
      <c r="Z122" s="3" t="inlineStr">
        <is>
          <t>Barthel Index（BI）, FIM</t>
        </is>
      </c>
      <c r="AB122" s="3" t="inlineStr">
        <is>
          <t>MMSE, HDS-R</t>
        </is>
      </c>
      <c r="AD122" s="3" t="inlineStr">
        <is>
          <t>定量的な下肢筋力測定, 開眼片脚立位時間, TUG, 10m歩行速度, 5回椅子立ち上がりテスト, 深部感覚評価, 認知機能, 注意障害, 遂行機能, 過去の転倒歴, 既往疾患の有無（脳血管疾患、パーキンソン病など）, 薬剤（向精神薬、降圧薬、利尿薬、ポリファーマシーなど）, ベッド周囲および病室環境, Fall Risk Index</t>
        </is>
      </c>
      <c r="AF122" s="3" t="inlineStr">
        <is>
          <t>決まっている</t>
        </is>
      </c>
      <c r="AG122" s="3" t="inlineStr">
        <is>
          <t>１週間以内</t>
        </is>
      </c>
      <c r="AI122" s="3" t="inlineStr">
        <is>
          <t>下肢筋力強化, バランス練習, 歩行練習, 歩容改善, 起立、着座動作練習, 環境調整, 補助具、装具の適正化, 認知面への介入, 行動面への介入, 教育、指導</t>
        </is>
      </c>
    </row>
    <row r="123" ht="22.5" customHeight="1">
      <c r="A123" s="32" t="n">
        <v>46098.42639269676</v>
      </c>
      <c r="B123" s="3" t="inlineStr">
        <is>
          <t>三戸部浩之</t>
        </is>
      </c>
      <c r="C123" s="3" t="inlineStr">
        <is>
          <t>社会医療法人　山弘会　上山病院</t>
        </is>
      </c>
      <c r="D123" s="3" t="inlineStr">
        <is>
          <t>大阪府</t>
        </is>
      </c>
      <c r="E123" s="3" t="inlineStr">
        <is>
          <t>reha@sanko-kai.jp</t>
        </is>
      </c>
      <c r="F123" s="3" t="inlineStr">
        <is>
          <t>リハビリテーション科/理学療法士</t>
        </is>
      </c>
      <c r="G123" s="3" t="n">
        <v>111</v>
      </c>
      <c r="H123" s="3" t="n">
        <v>37</v>
      </c>
      <c r="I123" s="3" t="n">
        <v>6</v>
      </c>
      <c r="J123" s="3" t="inlineStr">
        <is>
          <t>届け出はしていないが、現在検討中である</t>
        </is>
      </c>
      <c r="K123" s="3" t="inlineStr">
        <is>
          <t>関節可動域運動, 筋力増強運動, 呼吸リハビリテーション, DVT予防, ポジショニング, 自主運動指導, 術後リハビリテーションのオリエンテーション</t>
        </is>
      </c>
      <c r="L123" s="3" t="inlineStr">
        <is>
          <t>全症例の0％〜24％程度</t>
        </is>
      </c>
      <c r="N123" s="3" t="inlineStr">
        <is>
          <t>全症例の0％〜24％程度</t>
        </is>
      </c>
      <c r="P123" s="3" t="inlineStr">
        <is>
          <t>全症例の0％〜24％程度</t>
        </is>
      </c>
      <c r="R123" s="3" t="inlineStr">
        <is>
          <t>全症例の0％〜24％程度</t>
        </is>
      </c>
      <c r="T123" s="3" t="inlineStr">
        <is>
          <t>TUG, 6分間歩行距離, 下腿周径</t>
        </is>
      </c>
      <c r="V123" s="3" t="inlineStr">
        <is>
          <t>TUG, 6分間歩行距離, 認知機能</t>
        </is>
      </c>
      <c r="X123" s="3" t="inlineStr">
        <is>
          <t>実施していない</t>
        </is>
      </c>
      <c r="Y123" s="3" t="inlineStr">
        <is>
          <t>ロコモ単体としての評価は実施していないため</t>
        </is>
      </c>
      <c r="Z123" s="3" t="inlineStr">
        <is>
          <t>Barthel Index（BI）, FIM</t>
        </is>
      </c>
      <c r="AB123" s="3" t="inlineStr">
        <is>
          <t>MMSE, HDS-R, MoCA, AMTS</t>
        </is>
      </c>
      <c r="AD123" s="3" t="inlineStr">
        <is>
          <t>認知機能</t>
        </is>
      </c>
      <c r="AF123" s="3" t="inlineStr">
        <is>
          <t>決まっている</t>
        </is>
      </c>
      <c r="AG123" s="3" t="inlineStr">
        <is>
          <t>可能であれば初日</t>
        </is>
      </c>
      <c r="AI123" s="3" t="inlineStr">
        <is>
          <t>下肢筋力強化, バランス練習, 歩行練習, 歩容改善, 起立、着座動作練習, 環境調整, 補助具、装具の適正化, 認知面への介入, 行動面への介入, 教育、指導</t>
        </is>
      </c>
    </row>
    <row r="124" ht="22.5" customHeight="1">
      <c r="A124" s="32" t="n">
        <v>46098.43155435185</v>
      </c>
      <c r="B124" s="3" t="inlineStr">
        <is>
          <t>小原来夢</t>
        </is>
      </c>
      <c r="C124" s="3" t="inlineStr">
        <is>
          <t>医療法人社団淳英会おゆみの中央病院</t>
        </is>
      </c>
      <c r="D124" s="3" t="inlineStr">
        <is>
          <t>千葉県</t>
        </is>
      </c>
      <c r="E124" s="3" t="inlineStr">
        <is>
          <t>kohara-raimu@juneikai.or.jp</t>
        </is>
      </c>
      <c r="F124" s="3" t="inlineStr">
        <is>
          <t>リハビリテーション部/理学療法士</t>
        </is>
      </c>
      <c r="G124" s="3" t="n">
        <v>103</v>
      </c>
      <c r="H124" s="3" t="n">
        <v>14</v>
      </c>
      <c r="I124" s="3" t="n">
        <v>0</v>
      </c>
      <c r="J124" s="3" t="inlineStr">
        <is>
          <t>届け出はしていないが、現在検討中である</t>
        </is>
      </c>
      <c r="K124" s="3" t="inlineStr">
        <is>
          <t>関節可動域運動, 筋力増強運動, 呼吸リハビリテーション, DVT予防, リラクセーション, ポジショニング, 自主運動指導, 術後リハビリテーションのオリエンテーション, 離床（例：車椅子移乗,立位,歩行など）</t>
        </is>
      </c>
      <c r="L124" s="3" t="inlineStr">
        <is>
          <t>全症例の25％〜49％程度</t>
        </is>
      </c>
      <c r="N124" s="3" t="inlineStr">
        <is>
          <t>全症例の25％〜49％程度</t>
        </is>
      </c>
      <c r="P124" s="3" t="inlineStr">
        <is>
          <t>全症例の0％〜24％程度</t>
        </is>
      </c>
      <c r="R124" s="3" t="inlineStr">
        <is>
          <t>全症例の0％〜24％程度</t>
        </is>
      </c>
      <c r="T124" s="3" t="inlineStr">
        <is>
          <t>実施していない, サルコペニアの評価としては実施していない</t>
        </is>
      </c>
      <c r="U124" s="3" t="inlineStr">
        <is>
          <t>サルコペニアに対する治療・評価の体制が整っていない。</t>
        </is>
      </c>
      <c r="V124" s="3" t="inlineStr">
        <is>
          <t>実施していない, フレイルの評価としては実施していない</t>
        </is>
      </c>
      <c r="W124" s="3" t="inlineStr">
        <is>
          <t>フレイルに対する治療・評価の体制が整っていない。</t>
        </is>
      </c>
      <c r="X124" s="3" t="inlineStr">
        <is>
          <t>実施していない, ロコモの評価としては実施していない。</t>
        </is>
      </c>
      <c r="Y124" s="3" t="inlineStr">
        <is>
          <t>ロコモティブシンドロームに対する治療・評価の体制が整っていない。</t>
        </is>
      </c>
      <c r="Z124" s="3" t="inlineStr">
        <is>
          <t>Barthel Index（BI）, FIM</t>
        </is>
      </c>
      <c r="AB124" s="3" t="inlineStr">
        <is>
          <t>MMSE, AMTS</t>
        </is>
      </c>
      <c r="AD124" s="3" t="inlineStr">
        <is>
          <t>Berg Balance Scale（BBS）, SPPB、Functional Reach Test（FRT）, 認知機能</t>
        </is>
      </c>
      <c r="AF124" s="3" t="inlineStr">
        <is>
          <t>決まっている</t>
        </is>
      </c>
      <c r="AG124" s="3" t="inlineStr">
        <is>
          <t>認知機能は原則術前。
バランス評価項目は、安全管理（トイレ歩行などの移動手段）を変更する際の評価として実施している。</t>
        </is>
      </c>
      <c r="AI124" s="3" t="inlineStr">
        <is>
          <t>下肢筋力強化, バランス練習, 歩行練習, 歩容改善, 起立、着座動作練習, 環境調整, 補助具、装具の適正化, 教育、指導</t>
        </is>
      </c>
    </row>
    <row r="125" ht="22.5" customHeight="1">
      <c r="A125" s="32" t="n">
        <v>46098.44636145834</v>
      </c>
      <c r="B125" s="3" t="inlineStr">
        <is>
          <t>大竹 七佳</t>
        </is>
      </c>
      <c r="C125" s="3" t="inlineStr">
        <is>
          <t>医療法人社団 慶泉会 町田慶泉病院</t>
        </is>
      </c>
      <c r="D125" s="3" t="inlineStr">
        <is>
          <t>東京都</t>
        </is>
      </c>
      <c r="E125" s="3" t="inlineStr">
        <is>
          <t>otk.keisen@gmail.com</t>
        </is>
      </c>
      <c r="F125" s="3" t="inlineStr">
        <is>
          <t>リハビリテーション部/理学療法士</t>
        </is>
      </c>
      <c r="G125" s="3" t="n">
        <v>124</v>
      </c>
      <c r="H125" s="3" t="n">
        <v>33</v>
      </c>
      <c r="I125" s="3" t="n">
        <v>9</v>
      </c>
      <c r="J125" s="3" t="inlineStr">
        <is>
          <t>現在、算定している</t>
        </is>
      </c>
      <c r="K125" s="3" t="inlineStr">
        <is>
          <t>関節可動域運動, 筋力増強運動, DVT予防, リラクセーション, ポジショニング, 自主運動指導, 術後リハビリテーションのオリエンテーション</t>
        </is>
      </c>
      <c r="L125" s="3" t="inlineStr">
        <is>
          <t>全症例の0％〜24％程度</t>
        </is>
      </c>
      <c r="N125" s="3" t="inlineStr">
        <is>
          <t>全症例の0％〜24％程度</t>
        </is>
      </c>
      <c r="P125" s="3" t="inlineStr">
        <is>
          <t>全症例の0％〜24％程度</t>
        </is>
      </c>
      <c r="R125" s="3" t="inlineStr">
        <is>
          <t>全症例の0％〜24％程度</t>
        </is>
      </c>
      <c r="T125" s="3" t="inlineStr">
        <is>
          <t>握力, 膝伸展筋力, 歩行速度, TUG, 6分間歩行距離, 開眼片脚立位時間, 下腿周径</t>
        </is>
      </c>
      <c r="V125" s="3" t="inlineStr">
        <is>
          <t>TUG, 6分間歩行距離, 認知機能, 抑うつや意欲低下, 握力</t>
        </is>
      </c>
      <c r="X125" s="3" t="inlineStr">
        <is>
          <t>実施していない</t>
        </is>
      </c>
      <c r="Y125" s="3" t="inlineStr">
        <is>
          <t>当院の患者はほぼ高齢者でありフレイル状態の方がほとんどなので、ロコモの診断はされずあえてロコモの評価をしていないからです。</t>
        </is>
      </c>
      <c r="Z125" s="3" t="inlineStr">
        <is>
          <t>Barthel Index（BI）, FIM</t>
        </is>
      </c>
      <c r="AB125" s="3" t="inlineStr">
        <is>
          <t>MMSE, HDS-R, MoCA</t>
        </is>
      </c>
      <c r="AD125" s="3" t="inlineStr">
        <is>
          <t>定量的な下肢筋力測定, 開眼片脚立位時間, TUG, 10m歩行速度, Berg Balance Scale（BBS）, 認知機能</t>
        </is>
      </c>
      <c r="AF125" s="3" t="inlineStr">
        <is>
          <t>決まっている</t>
        </is>
      </c>
      <c r="AG125" s="3" t="inlineStr">
        <is>
          <t>下肢であれば術後３０日、９０日。脊椎疾患であれば術後１週間、３０日、６０日、９０日。</t>
        </is>
      </c>
      <c r="AI125" s="3" t="inlineStr">
        <is>
          <t>下肢筋力強化, バランス練習, 歩行練習, 歩容改善, 起立、着座動作練習, 環境調整, 補助具、装具の適正化, 認知面への介入, 行動面への介入, 教育、指導</t>
        </is>
      </c>
    </row>
    <row r="126" ht="22.5" customHeight="1">
      <c r="A126" s="32" t="n">
        <v>46098.45842815972</v>
      </c>
      <c r="B126" s="3" t="inlineStr">
        <is>
          <t>安川達哉</t>
        </is>
      </c>
      <c r="C126" s="3" t="inlineStr">
        <is>
          <t>独立行政法人国立病院機構関門医療センター</t>
        </is>
      </c>
      <c r="D126" s="3" t="inlineStr">
        <is>
          <t>山口県</t>
        </is>
      </c>
      <c r="E126" s="3" t="inlineStr">
        <is>
          <t>yasukawa.tatsuya.sz@mail.hosp.go.jp</t>
        </is>
      </c>
      <c r="F126" s="3" t="inlineStr">
        <is>
          <t>リハビリテーション科/理学療法士</t>
        </is>
      </c>
      <c r="G126" s="3" t="n">
        <v>192</v>
      </c>
      <c r="H126" s="3" t="n">
        <v>14</v>
      </c>
      <c r="I126" s="3" t="n">
        <v>2</v>
      </c>
      <c r="J126" s="3" t="inlineStr">
        <is>
          <t>届け出はしていないが、現在検討中である</t>
        </is>
      </c>
      <c r="K126" s="3" t="inlineStr">
        <is>
          <t>関節可動域運動, 筋力増強運動, DVT予防, 自主運動指導, 術後リハビリテーションのオリエンテーション</t>
        </is>
      </c>
      <c r="L126" s="3" t="inlineStr">
        <is>
          <t>全症例の25％〜49％程度</t>
        </is>
      </c>
      <c r="N126" s="3" t="inlineStr">
        <is>
          <t>全症例の0％〜24％程度</t>
        </is>
      </c>
      <c r="P126" s="3" t="inlineStr">
        <is>
          <t>全症例の25％〜49％程度</t>
        </is>
      </c>
      <c r="R126" s="3" t="inlineStr">
        <is>
          <t>全症例の0％〜24％程度</t>
        </is>
      </c>
      <c r="T126" s="3" t="inlineStr">
        <is>
          <t>握力, 膝伸展筋力, 5回椅子立ち上がりテスト, 歩行速度, SPPB, TUG, 6分間歩行距離, 開眼片脚立位時間, 下腿周径, GNRI</t>
        </is>
      </c>
      <c r="V126" s="3" t="inlineStr">
        <is>
          <t>J-CHS基準, TUG, MNA-SF</t>
        </is>
      </c>
      <c r="X126" s="3" t="inlineStr">
        <is>
          <t>立ち上がりテスト</t>
        </is>
      </c>
      <c r="Z126" s="3" t="inlineStr">
        <is>
          <t>Barthel Index（BI）, FIM</t>
        </is>
      </c>
      <c r="AB126" s="3" t="inlineStr">
        <is>
          <t>MMSE, HDS-R</t>
        </is>
      </c>
      <c r="AD126" s="3" t="inlineStr">
        <is>
          <t>実施していない</t>
        </is>
      </c>
      <c r="AE126" s="3" t="inlineStr">
        <is>
          <t>施設としての定めではなく、FLS個人活動としてSPPB、10ｍ歩行テストなどを実施している。</t>
        </is>
      </c>
      <c r="AI126" s="3" t="inlineStr">
        <is>
          <t>下肢筋力強化, バランス練習, 歩行練習, 歩容改善, 起立、着座動作練習, 環境調整, 補助具、装具の適正化, 認知面への介入, 行動面への介入, 教育、指導</t>
        </is>
      </c>
    </row>
    <row r="127" ht="22.5" customHeight="1">
      <c r="A127" s="32" t="n">
        <v>46098.46045711805</v>
      </c>
      <c r="B127" s="3" t="inlineStr">
        <is>
          <t>村井　誠</t>
        </is>
      </c>
      <c r="C127" s="3" t="inlineStr">
        <is>
          <t>市立室蘭総合病院</t>
        </is>
      </c>
      <c r="D127" s="3" t="inlineStr">
        <is>
          <t>北海道</t>
        </is>
      </c>
      <c r="E127" s="3" t="inlineStr">
        <is>
          <t>murohosp220@kujiran.jp</t>
        </is>
      </c>
      <c r="F127" s="3" t="inlineStr">
        <is>
          <t>リハビリテーション科／理学療法士</t>
        </is>
      </c>
      <c r="G127" s="3" t="n">
        <v>86</v>
      </c>
      <c r="H127" s="3" t="n">
        <v>15</v>
      </c>
      <c r="I127" s="3" t="n">
        <v>6</v>
      </c>
      <c r="J127" s="3" t="inlineStr">
        <is>
          <t>届け出をしておらず、検討もしていない</t>
        </is>
      </c>
      <c r="K127" s="3" t="inlineStr">
        <is>
          <t>関節可動域運動, 筋力増強運動, 呼吸リハビリテーション, DVT予防, 自主運動指導, 術後リハビリテーションのオリエンテーション</t>
        </is>
      </c>
      <c r="L127" s="3" t="inlineStr">
        <is>
          <t>全症例の25％〜49％程度</t>
        </is>
      </c>
      <c r="N127" s="3" t="inlineStr">
        <is>
          <t>全症例の25％〜49％程度</t>
        </is>
      </c>
      <c r="P127" s="3" t="inlineStr">
        <is>
          <t>全症例の25％〜49％程度</t>
        </is>
      </c>
      <c r="R127" s="3" t="inlineStr">
        <is>
          <t>全症例の25％〜49％程度</t>
        </is>
      </c>
      <c r="T127" s="3" t="inlineStr">
        <is>
          <t>握力, 膝伸展筋力, 5回椅子立ち上がりテスト, TUG</t>
        </is>
      </c>
      <c r="V127" s="3" t="inlineStr">
        <is>
          <t>TUG, 握力</t>
        </is>
      </c>
      <c r="X127" s="3" t="inlineStr">
        <is>
          <t>立ち上がりテスト, 2ステップテスト, ロコモ25（質問票）</t>
        </is>
      </c>
      <c r="Z127" s="3" t="inlineStr">
        <is>
          <t>Barthel Index（BI）, FIM</t>
        </is>
      </c>
      <c r="AB127" s="3" t="inlineStr">
        <is>
          <t>MMSE, HDS-R</t>
        </is>
      </c>
      <c r="AD127" s="3" t="inlineStr">
        <is>
          <t>開眼片脚立位時間, TUG, Berg Balance Scale（BBS）, 5回椅子立ち上がりテスト, 認知機能, 注意障害, 薬剤（向精神薬、降圧薬、利尿薬、ポリファーマシーなど）</t>
        </is>
      </c>
      <c r="AF127" s="3" t="inlineStr">
        <is>
          <t>決まっていない</t>
        </is>
      </c>
      <c r="AI127" s="3" t="inlineStr">
        <is>
          <t>下肢筋力強化, バランス練習, 歩行練習, 歩容改善, 起立、着座動作練習, 環境調整, 補助具、装具の適正化, 認知面への介入</t>
        </is>
      </c>
    </row>
    <row r="128" ht="22.5" customHeight="1">
      <c r="A128" s="32" t="n">
        <v>46098.48175304398</v>
      </c>
      <c r="B128" s="3" t="inlineStr">
        <is>
          <t>桑原道生</t>
        </is>
      </c>
      <c r="C128" s="3" t="inlineStr">
        <is>
          <t>社会医療法人愛生会総合上飯田第一病院</t>
        </is>
      </c>
      <c r="D128" s="3" t="inlineStr">
        <is>
          <t>愛知県</t>
        </is>
      </c>
      <c r="E128" s="3" t="inlineStr">
        <is>
          <t>daiichiriha@kamiiida-hp.jp</t>
        </is>
      </c>
      <c r="F128" s="3" t="inlineStr">
        <is>
          <t>リハビリテーション科/理学療法士</t>
        </is>
      </c>
      <c r="G128" s="3" t="n">
        <v>398</v>
      </c>
      <c r="H128" s="3" t="n">
        <v>16</v>
      </c>
      <c r="I128" s="3" t="n">
        <v>14</v>
      </c>
      <c r="J128" s="3" t="inlineStr">
        <is>
          <t>届け出をしておらず、検討もしていない</t>
        </is>
      </c>
      <c r="K128" s="3" t="inlineStr">
        <is>
          <t>筋力増強運動, DVT予防, ポジショニング, 自主運動指導, 術後リハビリテーションのオリエンテーション</t>
        </is>
      </c>
      <c r="L128" s="3" t="inlineStr">
        <is>
          <t>全症例の0％〜24％程度</t>
        </is>
      </c>
      <c r="N128" s="3" t="inlineStr">
        <is>
          <t>全症例の0％〜24％程度</t>
        </is>
      </c>
      <c r="P128" s="3" t="inlineStr">
        <is>
          <t>全症例の0％〜24％程度</t>
        </is>
      </c>
      <c r="R128" s="3" t="inlineStr">
        <is>
          <t>全症例の0％〜24％程度</t>
        </is>
      </c>
      <c r="T128" s="3" t="inlineStr">
        <is>
          <t>握力, 5回椅子立ち上がりテスト, SPPB, In body</t>
        </is>
      </c>
      <c r="V128" s="3" t="inlineStr">
        <is>
          <t>6分間歩行距離, 認知機能, 握力</t>
        </is>
      </c>
      <c r="X128" s="3" t="inlineStr">
        <is>
          <t>立ち上がりテスト, 2ステップテスト</t>
        </is>
      </c>
      <c r="Z128" s="3" t="inlineStr">
        <is>
          <t>Barthel Index（BI）, FIM</t>
        </is>
      </c>
      <c r="AB128" s="3" t="inlineStr">
        <is>
          <t>MMSE, HDS-R, MoCA, AMTS</t>
        </is>
      </c>
      <c r="AD128" s="3" t="inlineStr">
        <is>
          <t>認知機能, 過去の転倒歴, 既往疾患の有無（脳血管疾患、パーキンソン病など）</t>
        </is>
      </c>
      <c r="AF128" s="3" t="inlineStr">
        <is>
          <t>決まっている</t>
        </is>
      </c>
      <c r="AG128" s="3" t="inlineStr">
        <is>
          <t>AMTSは可能な限り術前、MMSE-Jは術後2日目に実施</t>
        </is>
      </c>
      <c r="AI128" s="3" t="inlineStr">
        <is>
          <t>下肢筋力強化, バランス練習, 歩行練習, 歩容改善, 起立、着座動作練習, 環境調整, 補助具、装具の適正化, 認知面への介入, 行動面への介入, 教育、指導</t>
        </is>
      </c>
    </row>
    <row r="129" ht="22.5" customHeight="1">
      <c r="A129" s="32" t="n">
        <v>46098.50742172453</v>
      </c>
      <c r="B129" s="3" t="inlineStr">
        <is>
          <t>荒川　栄人</t>
        </is>
      </c>
      <c r="C129" s="3" t="inlineStr">
        <is>
          <t>一般社団法人　天草郡市医師会立天草地域医療センター</t>
        </is>
      </c>
      <c r="D129" s="3" t="inlineStr">
        <is>
          <t>熊本県</t>
        </is>
      </c>
      <c r="E129" s="3" t="inlineStr">
        <is>
          <t>ta-nojima@amed.jp</t>
        </is>
      </c>
      <c r="F129" s="3" t="inlineStr">
        <is>
          <t>リハビリテーション科／理学療法士</t>
        </is>
      </c>
      <c r="G129" s="3" t="n">
        <v>22</v>
      </c>
      <c r="H129" s="3" t="n">
        <v>9</v>
      </c>
      <c r="I129" s="3" t="n">
        <v>0</v>
      </c>
      <c r="J129" s="3" t="inlineStr">
        <is>
          <t>届け出をしておらず、検討もしていない</t>
        </is>
      </c>
      <c r="K129" s="3" t="inlineStr">
        <is>
          <t>実施していない</t>
        </is>
      </c>
      <c r="L129" s="3" t="inlineStr">
        <is>
          <t>全症例の75％〜100％程度</t>
        </is>
      </c>
      <c r="M129" s="3" t="inlineStr">
        <is>
          <t>内服薬をリハビリ前に内服していただく</t>
        </is>
      </c>
      <c r="N129" s="3" t="inlineStr">
        <is>
          <t>全症例の25％〜49％程度</t>
        </is>
      </c>
      <c r="P129" s="3" t="inlineStr">
        <is>
          <t>全症例の25％〜49％程度</t>
        </is>
      </c>
      <c r="R129" s="3" t="inlineStr">
        <is>
          <t>全症例の0％〜24％程度</t>
        </is>
      </c>
      <c r="T129" s="3" t="inlineStr">
        <is>
          <t>実施していない</t>
        </is>
      </c>
      <c r="U129" s="3" t="inlineStr">
        <is>
          <t>サルコペニアの診断でリハビリが関わることが少ないため</t>
        </is>
      </c>
      <c r="V129" s="3" t="inlineStr">
        <is>
          <t>実施していない</t>
        </is>
      </c>
      <c r="W129" s="3" t="inlineStr">
        <is>
          <t>フレイルの診断でリハビリが関わることが少ないため</t>
        </is>
      </c>
      <c r="X129" s="3" t="inlineStr">
        <is>
          <t>実施していない</t>
        </is>
      </c>
      <c r="Y129" s="3" t="inlineStr">
        <is>
          <t>ロコモティブシンドロームの診断でリハビリが関わることが少ないため</t>
        </is>
      </c>
      <c r="Z129" s="3" t="inlineStr">
        <is>
          <t>Barthel Index（BI）, FIM</t>
        </is>
      </c>
      <c r="AB129" s="3" t="inlineStr">
        <is>
          <t>MMSE, HDS-R</t>
        </is>
      </c>
      <c r="AD129" s="3" t="inlineStr">
        <is>
          <t>握力</t>
        </is>
      </c>
      <c r="AF129" s="3" t="inlineStr">
        <is>
          <t>決まっていない</t>
        </is>
      </c>
      <c r="AH129" s="3" t="inlineStr">
        <is>
          <t>せん妄など全身状態で測れないことがあるため、測れるようになって測定している。</t>
        </is>
      </c>
      <c r="AI129" s="3" t="inlineStr">
        <is>
          <t>下肢筋力強化, 歩行練習, 起立、着座動作練習, 補助具、装具の適正化</t>
        </is>
      </c>
    </row>
    <row r="130" ht="22.5" customHeight="1">
      <c r="A130" s="32" t="n">
        <v>46098.54050359954</v>
      </c>
      <c r="B130" s="3" t="inlineStr">
        <is>
          <t>菊地健介</t>
        </is>
      </c>
      <c r="C130" s="3" t="inlineStr">
        <is>
          <t>名戸ヶ谷病院</t>
        </is>
      </c>
      <c r="D130" s="3" t="inlineStr">
        <is>
          <t>千葉県</t>
        </is>
      </c>
      <c r="E130" s="3" t="inlineStr">
        <is>
          <t>reha-kikuchi@nadogaya.com</t>
        </is>
      </c>
      <c r="F130" s="3" t="inlineStr">
        <is>
          <t>リハビリテーション科／理学療法士</t>
        </is>
      </c>
      <c r="G130" s="3" t="n">
        <v>256</v>
      </c>
      <c r="H130" s="3" t="n">
        <v>7</v>
      </c>
      <c r="I130" s="3" t="n">
        <v>1</v>
      </c>
      <c r="J130" s="3" t="inlineStr">
        <is>
          <t>届け出をしておらず、検討もしていない</t>
        </is>
      </c>
      <c r="K130" s="3" t="inlineStr">
        <is>
          <t>実施していない</t>
        </is>
      </c>
      <c r="L130" s="3" t="inlineStr">
        <is>
          <t>全症例の0％〜24％程度</t>
        </is>
      </c>
      <c r="N130" s="3" t="inlineStr">
        <is>
          <t>全症例の0％〜24％程度</t>
        </is>
      </c>
      <c r="P130" s="3" t="inlineStr">
        <is>
          <t>全症例の0％〜24％程度</t>
        </is>
      </c>
      <c r="R130" s="3" t="inlineStr">
        <is>
          <t>全症例の0％〜24％程度</t>
        </is>
      </c>
      <c r="T130" s="3" t="inlineStr">
        <is>
          <t>実施していない</t>
        </is>
      </c>
      <c r="U130" s="3" t="inlineStr">
        <is>
          <t>入院前からサルコペニアの状態の方が多いため。</t>
        </is>
      </c>
      <c r="V130" s="3" t="inlineStr">
        <is>
          <t>実施していない</t>
        </is>
      </c>
      <c r="W130" s="3" t="inlineStr">
        <is>
          <t>入院前からフレイルの状態の方が多いため。</t>
        </is>
      </c>
      <c r="X130" s="3" t="inlineStr">
        <is>
          <t>実施していない</t>
        </is>
      </c>
      <c r="Y130" s="3" t="inlineStr">
        <is>
          <t>入院前からロコモティブシンドロームに該当する状態の方が多いため。</t>
        </is>
      </c>
      <c r="Z130" s="3" t="inlineStr">
        <is>
          <t>FIM</t>
        </is>
      </c>
      <c r="AB130" s="3" t="inlineStr">
        <is>
          <t>MMSE</t>
        </is>
      </c>
      <c r="AD130" s="3" t="inlineStr">
        <is>
          <t>実施していない</t>
        </is>
      </c>
      <c r="AE130" s="3" t="inlineStr">
        <is>
          <t>理由は特にありません。</t>
        </is>
      </c>
      <c r="AF130" s="3" t="inlineStr">
        <is>
          <t>決まっていない</t>
        </is>
      </c>
      <c r="AH130" s="3" t="inlineStr">
        <is>
          <t>理由は特にありません。</t>
        </is>
      </c>
      <c r="AI130" s="3" t="inlineStr">
        <is>
          <t>下肢筋力強化, バランス練習, 歩行練習, 起立、着座動作練習, 環境調整, 補助具、装具の適正化, 教育、指導</t>
        </is>
      </c>
    </row>
    <row r="131" ht="22.5" customHeight="1">
      <c r="A131" s="32" t="n">
        <v>46098.54300336805</v>
      </c>
      <c r="B131" s="3" t="inlineStr">
        <is>
          <t>網中陽子</t>
        </is>
      </c>
      <c r="C131" s="3" t="inlineStr">
        <is>
          <t>北里研究所病院</t>
        </is>
      </c>
      <c r="D131" s="3" t="inlineStr">
        <is>
          <t>東京都</t>
        </is>
      </c>
      <c r="E131" s="3" t="inlineStr">
        <is>
          <t>a.yoko@insti.kitasato-u.ac.jp</t>
        </is>
      </c>
      <c r="G131" s="3" t="n">
        <v>64</v>
      </c>
      <c r="H131" s="3" t="n">
        <v>15</v>
      </c>
      <c r="I131" s="3" t="n">
        <v>4</v>
      </c>
      <c r="J131" s="3" t="inlineStr">
        <is>
          <t>届け出はしていないが、現在検討中である</t>
        </is>
      </c>
      <c r="K131" s="3" t="inlineStr">
        <is>
          <t>実施していない</t>
        </is>
      </c>
      <c r="L131" s="3" t="inlineStr">
        <is>
          <t>全症例の50％〜74％程度</t>
        </is>
      </c>
      <c r="M131" s="3" t="inlineStr">
        <is>
          <t>繰り返し介入する</t>
        </is>
      </c>
      <c r="N131" s="3" t="inlineStr">
        <is>
          <t>全症例の0％〜24％程度</t>
        </is>
      </c>
      <c r="P131" s="3" t="inlineStr">
        <is>
          <t>全症例の0％〜24％程度</t>
        </is>
      </c>
      <c r="R131" s="3" t="inlineStr">
        <is>
          <t>全症例の0％〜24％程度</t>
        </is>
      </c>
      <c r="T131" s="3" t="inlineStr">
        <is>
          <t>握力, 5回椅子立ち上がりテスト, 歩行速度, SPPB, 開眼片脚立位時間</t>
        </is>
      </c>
      <c r="V131" s="3" t="inlineStr">
        <is>
          <t>実施していない</t>
        </is>
      </c>
      <c r="W131" s="3" t="inlineStr">
        <is>
          <t>サルコペニアを評価しているため</t>
        </is>
      </c>
      <c r="X131" s="3" t="inlineStr">
        <is>
          <t>実施していない</t>
        </is>
      </c>
      <c r="Y131" s="3" t="inlineStr">
        <is>
          <t>サルコペニアを評価しているため</t>
        </is>
      </c>
      <c r="Z131" s="3" t="inlineStr">
        <is>
          <t>Barthel Index（BI）, FIM</t>
        </is>
      </c>
      <c r="AB131" s="3" t="inlineStr">
        <is>
          <t>MMSE</t>
        </is>
      </c>
      <c r="AD131" s="3" t="inlineStr">
        <is>
          <t>SPPB、Functional Reach Test（FRT）, 認知機能, 過去の転倒歴</t>
        </is>
      </c>
      <c r="AF131" s="3" t="inlineStr">
        <is>
          <t>決まっていない</t>
        </is>
      </c>
      <c r="AH131" s="3" t="inlineStr">
        <is>
          <t>歩行獲得までの日数に個人差があるため、入院中に実施することだけ定めている</t>
        </is>
      </c>
      <c r="AI131" s="3" t="inlineStr">
        <is>
          <t>下肢筋力強化, 歩行練習, 起立、着座動作練習, 環境調整, 認知面への介入</t>
        </is>
      </c>
    </row>
    <row r="132" ht="22.5" customHeight="1">
      <c r="A132" s="32" t="n">
        <v>46098.54464203704</v>
      </c>
      <c r="B132" s="3" t="inlineStr">
        <is>
          <t>相原　裕幸</t>
        </is>
      </c>
      <c r="C132" s="3" t="inlineStr">
        <is>
          <t>茨城県西部メディカルセンター</t>
        </is>
      </c>
      <c r="D132" s="3" t="inlineStr">
        <is>
          <t>茨城県</t>
        </is>
      </c>
      <c r="E132" s="3" t="inlineStr">
        <is>
          <t>hiroyuki.aihara@iwmo.or.jp</t>
        </is>
      </c>
      <c r="F132" s="3" t="inlineStr">
        <is>
          <t>リハビリテーション技術科/理学療法士</t>
        </is>
      </c>
      <c r="G132" s="3" t="n">
        <v>124</v>
      </c>
      <c r="H132" s="3" t="n">
        <v>6</v>
      </c>
      <c r="I132" s="3" t="n">
        <v>3</v>
      </c>
      <c r="J132" s="3" t="inlineStr">
        <is>
          <t>届け出をしておらず、検討もしていない</t>
        </is>
      </c>
      <c r="K132" s="3" t="inlineStr">
        <is>
          <t>関節可動域運動, 筋力増強運動, ポジショニング, 自主運動指導</t>
        </is>
      </c>
      <c r="L132" s="3" t="inlineStr">
        <is>
          <t>全症例の25％〜49％程度</t>
        </is>
      </c>
      <c r="N132" s="3" t="inlineStr">
        <is>
          <t>全症例の0％〜24％程度</t>
        </is>
      </c>
      <c r="P132" s="3" t="inlineStr">
        <is>
          <t>全症例の0％〜24％程度</t>
        </is>
      </c>
      <c r="R132" s="3" t="inlineStr">
        <is>
          <t>全症例の0％〜24％程度</t>
        </is>
      </c>
      <c r="T132" s="3" t="inlineStr">
        <is>
          <t>実施していない</t>
        </is>
      </c>
      <c r="V132" s="3" t="inlineStr">
        <is>
          <t>実施していない</t>
        </is>
      </c>
      <c r="X132" s="3" t="inlineStr">
        <is>
          <t>実施していない</t>
        </is>
      </c>
      <c r="Z132" s="3" t="inlineStr">
        <is>
          <t>Barthel Index（BI）</t>
        </is>
      </c>
      <c r="AB132" s="3" t="inlineStr">
        <is>
          <t>HDS-R</t>
        </is>
      </c>
      <c r="AD132" s="3" t="inlineStr">
        <is>
          <t>起立評価</t>
        </is>
      </c>
      <c r="AF132" s="3" t="inlineStr">
        <is>
          <t>決まっている</t>
        </is>
      </c>
      <c r="AG132" s="3" t="inlineStr">
        <is>
          <t>1日目</t>
        </is>
      </c>
      <c r="AI132" s="3" t="inlineStr">
        <is>
          <t>下肢筋力強化, バランス練習, 歩行練習, 歩容改善, 起立、着座動作練習, 環境調整, 補助具、装具の適正化, 認知面への介入, 行動面への介入</t>
        </is>
      </c>
    </row>
    <row r="133" ht="22.5" customHeight="1">
      <c r="A133" s="32" t="n">
        <v>46098.56557533565</v>
      </c>
      <c r="B133" s="3" t="inlineStr">
        <is>
          <t>三本 坪大</t>
        </is>
      </c>
      <c r="C133" s="3" t="inlineStr">
        <is>
          <t>独立行政法人地域医療機能推進機構神戸中央病院</t>
        </is>
      </c>
      <c r="D133" s="3" t="inlineStr">
        <is>
          <t>兵庫県</t>
        </is>
      </c>
      <c r="E133" s="3" t="inlineStr">
        <is>
          <t>mitsumoto-heidai@kobe.jcho.go.jp</t>
        </is>
      </c>
      <c r="F133" s="3" t="inlineStr">
        <is>
          <t>リハビリテーション科診療部/理学療法士</t>
        </is>
      </c>
      <c r="G133" s="3" t="n">
        <v>168</v>
      </c>
      <c r="H133" s="3" t="n">
        <v>10</v>
      </c>
      <c r="I133" s="3" t="n">
        <v>0</v>
      </c>
      <c r="J133" s="3" t="inlineStr">
        <is>
          <t>届け出をしておらず、検討もしていない</t>
        </is>
      </c>
      <c r="K133" s="3" t="inlineStr">
        <is>
          <t>関節可動域運動, 筋力増強運動, 呼吸リハビリテーション, DVT予防, リラクセーション, ポジショニング, 自主運動指導, 術後リハビリテーションのオリエンテーション, 離床（例：車椅子移乗,立位,歩行など）</t>
        </is>
      </c>
      <c r="L133" s="3" t="inlineStr">
        <is>
          <t>全症例の0％〜24％程度</t>
        </is>
      </c>
      <c r="N133" s="3" t="inlineStr">
        <is>
          <t>全症例の0％〜24％程度</t>
        </is>
      </c>
      <c r="P133" s="3" t="inlineStr">
        <is>
          <t>全症例の0％〜24％程度</t>
        </is>
      </c>
      <c r="R133" s="3" t="inlineStr">
        <is>
          <t>全症例の0％〜24％程度</t>
        </is>
      </c>
      <c r="T133" s="3" t="inlineStr">
        <is>
          <t>握力, 膝伸展筋力, 5回椅子立ち上がりテスト, 歩行速度, TUG</t>
        </is>
      </c>
      <c r="V133" s="3" t="inlineStr">
        <is>
          <t>TUG, 認知機能, 握力</t>
        </is>
      </c>
      <c r="X133" s="3" t="inlineStr">
        <is>
          <t>立ち上がりテスト, 2ステップテスト, ロコモ25（質問票）</t>
        </is>
      </c>
      <c r="Z133" s="3" t="inlineStr">
        <is>
          <t>Barthel Index（BI）, FIM</t>
        </is>
      </c>
      <c r="AB133" s="3" t="inlineStr">
        <is>
          <t>MMSE, HDS-R</t>
        </is>
      </c>
      <c r="AD133" s="3" t="inlineStr">
        <is>
          <t>定量的な下肢筋力測定, 開眼片脚立位時間, TUG, 10m歩行速度, 認知機能</t>
        </is>
      </c>
      <c r="AF133" s="3" t="inlineStr">
        <is>
          <t>決まっていない</t>
        </is>
      </c>
      <c r="AH133" s="3" t="inlineStr">
        <is>
          <t>実施可能な状態になってから測定するため。主治医と担当が骨粗鬆症に注視しているかどうかによっても異なるため。</t>
        </is>
      </c>
      <c r="AI133" s="3" t="inlineStr">
        <is>
          <t>下肢筋力強化, バランス練習, 歩行練習, 歩容改善, 起立、着座動作練習, 環境調整, 補助具、装具の適正化, 認知面への介入, 教育、指導</t>
        </is>
      </c>
    </row>
    <row r="134" ht="22.5" customHeight="1">
      <c r="A134" s="32" t="n">
        <v>46098.56933053241</v>
      </c>
      <c r="B134" s="3" t="inlineStr">
        <is>
          <t>山口　知恭</t>
        </is>
      </c>
      <c r="C134" s="3" t="inlineStr">
        <is>
          <t>稲沢市民病院</t>
        </is>
      </c>
      <c r="D134" s="3" t="inlineStr">
        <is>
          <t>愛知県</t>
        </is>
      </c>
      <c r="E134" s="3" t="inlineStr">
        <is>
          <t>t-yamaguchi@city.inazawa.aichi.jp</t>
        </is>
      </c>
      <c r="F134" s="3" t="inlineStr">
        <is>
          <t>リハビリテーション室/理学療法士</t>
        </is>
      </c>
      <c r="G134" s="3" t="n">
        <v>2972</v>
      </c>
      <c r="H134" s="3" t="n">
        <v>12</v>
      </c>
      <c r="I134" s="3" t="n">
        <v>6</v>
      </c>
      <c r="J134" s="3" t="inlineStr">
        <is>
          <t>届け出をしておらず、検討もしていない</t>
        </is>
      </c>
      <c r="K134" s="3" t="inlineStr">
        <is>
          <t>関節可動域運動, 筋力増強運動, 呼吸リハビリテーション, DVT予防, リラクセーション, ポジショニング, 自主運動指導, 術後リハビリテーションのオリエンテーション, 離床（例：車椅子移乗,立位,歩行など）</t>
        </is>
      </c>
      <c r="L134" s="3" t="inlineStr">
        <is>
          <t>全症例の0％〜24％程度</t>
        </is>
      </c>
      <c r="N134" s="3" t="inlineStr">
        <is>
          <t>全症例の0％〜24％程度</t>
        </is>
      </c>
      <c r="P134" s="3" t="inlineStr">
        <is>
          <t>全症例の0％〜24％程度</t>
        </is>
      </c>
      <c r="R134" s="3" t="inlineStr">
        <is>
          <t>全症例の0％〜24％程度</t>
        </is>
      </c>
      <c r="T134" s="3" t="inlineStr">
        <is>
          <t>実施していない</t>
        </is>
      </c>
      <c r="U134" s="3" t="inlineStr">
        <is>
          <t>サルコペニア評価として必須としていないことやマンパワー不足のため未実施</t>
        </is>
      </c>
      <c r="V134" s="3" t="inlineStr">
        <is>
          <t>実施していない</t>
        </is>
      </c>
      <c r="W134" s="3" t="inlineStr">
        <is>
          <t xml:space="preserve">必要に応じて行う検査もありますが、必須としていない　</t>
        </is>
      </c>
      <c r="X134" s="3" t="inlineStr">
        <is>
          <t>実施していない</t>
        </is>
      </c>
      <c r="Y134" s="3" t="inlineStr">
        <is>
          <t>多忙な業務の中でロコモの評価に時間をとることが困難であるとともに2ステップが転倒リスクが高いため未評価</t>
        </is>
      </c>
      <c r="Z134" s="3" t="inlineStr">
        <is>
          <t>Barthel Index（BI）</t>
        </is>
      </c>
      <c r="AB134" s="3" t="inlineStr">
        <is>
          <t>MMSE, HDS-R</t>
        </is>
      </c>
      <c r="AD134" s="3" t="inlineStr">
        <is>
          <t>実施していない</t>
        </is>
      </c>
      <c r="AE134" s="3" t="inlineStr">
        <is>
          <t>看護部門にて実施されているため</t>
        </is>
      </c>
      <c r="AI134" s="3" t="inlineStr">
        <is>
          <t>下肢筋力強化, バランス練習, 歩行練習, 歩容改善, 起立、着座動作練習, 補助具、装具の適正化, 認知面への介入, 教育、指導</t>
        </is>
      </c>
    </row>
    <row r="135" ht="22.5" customHeight="1">
      <c r="A135" s="32" t="n">
        <v>46098.57309763889</v>
      </c>
      <c r="B135" s="3" t="inlineStr">
        <is>
          <t>秋吉秀美</t>
        </is>
      </c>
      <c r="C135" s="3" t="inlineStr">
        <is>
          <t>総合南東北病院</t>
        </is>
      </c>
      <c r="D135" s="3" t="inlineStr">
        <is>
          <t>福島県</t>
        </is>
      </c>
      <c r="E135" s="3" t="inlineStr">
        <is>
          <t>akyshdm08@yahoo.co.jp</t>
        </is>
      </c>
      <c r="F135" s="3" t="inlineStr">
        <is>
          <t>リハビリテーション科／理学療法士</t>
        </is>
      </c>
      <c r="G135" s="3" t="n">
        <v>135</v>
      </c>
      <c r="H135" s="3" t="n">
        <v>10</v>
      </c>
      <c r="I135" s="3" t="n">
        <v>8</v>
      </c>
      <c r="J135" s="3" t="inlineStr">
        <is>
          <t>現在、算定している</t>
        </is>
      </c>
      <c r="K135" s="3" t="inlineStr">
        <is>
          <t>関節可動域運動, 筋力増強運動, DVT予防, リラクセーション, ポジショニング, 術後リハビリテーションのオリエンテーション, 離床（例：車椅子移乗,立位,歩行など）</t>
        </is>
      </c>
      <c r="L135" s="3" t="inlineStr">
        <is>
          <t>全症例の0％〜24％程度</t>
        </is>
      </c>
      <c r="M135" s="3" t="inlineStr">
        <is>
          <t>鎮痛薬の点滴、内服</t>
        </is>
      </c>
      <c r="N135" s="3" t="inlineStr">
        <is>
          <t>全症例の0％〜24％程度</t>
        </is>
      </c>
      <c r="O135" s="3" t="inlineStr">
        <is>
          <t>術前や術後に認知症カンファレンスを病棟で開催</t>
        </is>
      </c>
      <c r="P135" s="3" t="inlineStr">
        <is>
          <t>全症例の0％〜24％程度</t>
        </is>
      </c>
      <c r="Q135" s="3" t="inlineStr">
        <is>
          <t>他科へのコンサルトをしても適宜早急に対応していただける環境作り</t>
        </is>
      </c>
      <c r="R135" s="3" t="inlineStr">
        <is>
          <t>全症例の0％〜24％程度</t>
        </is>
      </c>
      <c r="S135" s="3" t="inlineStr">
        <is>
          <t>リハビリと病棟ナースとの連携</t>
        </is>
      </c>
      <c r="T135" s="3" t="inlineStr">
        <is>
          <t>握力, TUG, 骨格筋量指数（SMI）, 下腿周径, MNA-SF</t>
        </is>
      </c>
      <c r="V135" s="3" t="inlineStr">
        <is>
          <t>TUG, 認知機能, 抑うつや意欲低下, MNA-SF, 握力</t>
        </is>
      </c>
      <c r="X135" s="3" t="inlineStr">
        <is>
          <t>立ち上がりテスト</t>
        </is>
      </c>
      <c r="Z135" s="3" t="inlineStr">
        <is>
          <t>Barthel Index（BI）, FIM</t>
        </is>
      </c>
      <c r="AB135" s="3" t="inlineStr">
        <is>
          <t>HDS-R, AMTS</t>
        </is>
      </c>
      <c r="AD135" s="3" t="inlineStr">
        <is>
          <t>TUG, 認知機能, 転倒恐怖感, 過去の転倒歴, 既往疾患の有無（脳血管疾患、パーキンソン病など）, 薬剤（向精神薬、降圧薬、利尿薬、ポリファーマシーなど）, ベッド周囲および病室環境</t>
        </is>
      </c>
      <c r="AF135" s="3" t="inlineStr">
        <is>
          <t>決まっている</t>
        </is>
      </c>
      <c r="AG135" s="3" t="inlineStr">
        <is>
          <t>7,14</t>
        </is>
      </c>
      <c r="AI135" s="3" t="inlineStr">
        <is>
          <t>下肢筋力強化, バランス練習, 歩行練習, 歩容改善, 起立、着座動作練習, 環境調整, 補助具、装具の適正化, 認知面への介入, 教育、指導</t>
        </is>
      </c>
    </row>
    <row r="136" ht="22.5" customHeight="1">
      <c r="A136" s="32" t="n">
        <v>46098.57754246527</v>
      </c>
      <c r="B136" s="3" t="inlineStr">
        <is>
          <t>三谷祐史</t>
        </is>
      </c>
      <c r="C136" s="3" t="inlineStr">
        <is>
          <t>日本赤十字社愛知医療センター名古屋第二病院</t>
        </is>
      </c>
      <c r="D136" s="3" t="inlineStr">
        <is>
          <t>愛知県</t>
        </is>
      </c>
      <c r="E136" s="3" t="inlineStr">
        <is>
          <t>uc0517@nagoya2.jrc.or.jp</t>
        </is>
      </c>
      <c r="F136" s="3" t="inlineStr">
        <is>
          <t>リハビリテーション科/理学療法士</t>
        </is>
      </c>
      <c r="G136" s="3" t="n">
        <v>278</v>
      </c>
      <c r="H136" s="3" t="n">
        <v>29</v>
      </c>
      <c r="I136" s="3" t="n">
        <v>18</v>
      </c>
      <c r="J136" s="3" t="inlineStr">
        <is>
          <t>現在、算定している</t>
        </is>
      </c>
      <c r="K136" s="3" t="inlineStr">
        <is>
          <t>実施していない</t>
        </is>
      </c>
      <c r="L136" s="3" t="inlineStr">
        <is>
          <t>全症例の0％〜24％程度</t>
        </is>
      </c>
      <c r="N136" s="3" t="inlineStr">
        <is>
          <t>全症例の0％〜24％程度</t>
        </is>
      </c>
      <c r="P136" s="3" t="inlineStr">
        <is>
          <t>全症例の0％〜24％程度</t>
        </is>
      </c>
      <c r="R136" s="3" t="inlineStr">
        <is>
          <t>全症例の0％〜24％程度</t>
        </is>
      </c>
      <c r="T136" s="3" t="inlineStr">
        <is>
          <t>握力, 膝伸展筋力, 5回椅子立ち上がりテスト, 歩行速度, 骨格筋量指数（SMI）</t>
        </is>
      </c>
      <c r="V136" s="3" t="inlineStr">
        <is>
          <t>J-CHS基準</t>
        </is>
      </c>
      <c r="X136" s="3" t="inlineStr">
        <is>
          <t>立ち上がりテスト, 2ステップテスト, ロコモ25（質問票）</t>
        </is>
      </c>
      <c r="Z136" s="3" t="inlineStr">
        <is>
          <t>Barthel Index（BI）, FIM</t>
        </is>
      </c>
      <c r="AB136" s="3" t="inlineStr">
        <is>
          <t>MMSE, HDS-R, AMTS</t>
        </is>
      </c>
      <c r="AD136" s="3" t="inlineStr">
        <is>
          <t>10m歩行速度, Berg Balance Scale（BBS）, SPPB、Functional Reach Test（FRT）, 認知機能, 転倒恐怖感, 過去の転倒歴, 既往疾患の有無（脳血管疾患、パーキンソン病など）, 薬剤（向精神薬、降圧薬、利尿薬、ポリファーマシーなど）</t>
        </is>
      </c>
      <c r="AF136" s="3" t="inlineStr">
        <is>
          <t>決まっている</t>
        </is>
      </c>
      <c r="AG136" s="3" t="inlineStr">
        <is>
          <t>7日目</t>
        </is>
      </c>
      <c r="AI136" s="3" t="inlineStr">
        <is>
          <t>下肢筋力強化, バランス練習, 歩行練習, 歩容改善, 起立、着座動作練習, 環境調整, 補助具、装具の適正化, 教育、指導</t>
        </is>
      </c>
    </row>
    <row r="137" ht="22.5" customHeight="1">
      <c r="A137" s="32" t="n">
        <v>46098.58415228009</v>
      </c>
      <c r="B137" s="3" t="inlineStr">
        <is>
          <t>松田洋平</t>
        </is>
      </c>
      <c r="C137" s="3" t="inlineStr">
        <is>
          <t>医療法人大植会葛城病院</t>
        </is>
      </c>
      <c r="D137" s="3" t="inlineStr">
        <is>
          <t>大阪府</t>
        </is>
      </c>
      <c r="E137" s="3" t="inlineStr">
        <is>
          <t>matsuda@katsuragi-hosp.or.jp</t>
        </is>
      </c>
      <c r="F137" s="3" t="inlineStr">
        <is>
          <t>リハビリテーション部　理学療法課／理学療法士会</t>
        </is>
      </c>
      <c r="G137" s="3" t="n">
        <v>220</v>
      </c>
      <c r="H137" s="3" t="n">
        <v>40</v>
      </c>
      <c r="I137" s="3" t="n">
        <v>12</v>
      </c>
      <c r="J137" s="3" t="inlineStr">
        <is>
          <t>届け出はしていないが、現在検討中である</t>
        </is>
      </c>
      <c r="K137" s="3" t="inlineStr">
        <is>
          <t>関節可動域運動, 筋力増強運動, 呼吸リハビリテーション, DVT予防, リラクセーション, ポジショニング, 自主運動指導</t>
        </is>
      </c>
      <c r="L137" s="3" t="inlineStr">
        <is>
          <t>全症例の25％〜49％程度</t>
        </is>
      </c>
      <c r="N137" s="3" t="inlineStr">
        <is>
          <t>全症例の25％〜49％程度</t>
        </is>
      </c>
      <c r="P137" s="3" t="inlineStr">
        <is>
          <t>全症例の25％〜49％程度</t>
        </is>
      </c>
      <c r="R137" s="3" t="inlineStr">
        <is>
          <t>全症例の0％〜24％程度</t>
        </is>
      </c>
      <c r="T137" s="3" t="inlineStr">
        <is>
          <t>握力, 5回椅子立ち上がりテスト, 歩行速度, 開眼片脚立位時間, 骨格筋量指数（SMI）, 下腿周径</t>
        </is>
      </c>
      <c r="V137" s="3" t="inlineStr">
        <is>
          <t>認知機能, 握力</t>
        </is>
      </c>
      <c r="X137" s="3" t="inlineStr">
        <is>
          <t>立ち上がりテスト, 2ステップテスト</t>
        </is>
      </c>
      <c r="Z137" s="3" t="inlineStr">
        <is>
          <t>Barthel Index（BI）, FIM</t>
        </is>
      </c>
      <c r="AB137" s="3" t="inlineStr">
        <is>
          <t>MMSE</t>
        </is>
      </c>
      <c r="AD137" s="3" t="inlineStr">
        <is>
          <t>開眼片脚立位時間, 10m歩行速度, 5回椅子立ち上がりテスト, 認知機能</t>
        </is>
      </c>
      <c r="AF137" s="3" t="inlineStr">
        <is>
          <t>決まっている</t>
        </is>
      </c>
      <c r="AG137" s="3" t="inlineStr">
        <is>
          <t>術後７日以内</t>
        </is>
      </c>
      <c r="AI137" s="3" t="inlineStr">
        <is>
          <t>下肢筋力強化, バランス練習, 歩行練習, 歩容改善, 起立、着座動作練習, 環境調整, 認知面への介入, 行動面への介入, 教育、指導</t>
        </is>
      </c>
    </row>
    <row r="138" ht="22.5" customHeight="1">
      <c r="A138" s="32" t="n">
        <v>46098.61471619213</v>
      </c>
      <c r="B138" s="3" t="inlineStr">
        <is>
          <t>笠　卓也</t>
        </is>
      </c>
      <c r="C138" s="3" t="inlineStr">
        <is>
          <t>社会医療法人天神会　古賀病院21</t>
        </is>
      </c>
      <c r="D138" s="3" t="inlineStr">
        <is>
          <t>福岡県</t>
        </is>
      </c>
      <c r="E138" s="3" t="inlineStr">
        <is>
          <t>k21riha@tenjinkai.or.jp</t>
        </is>
      </c>
      <c r="F138" s="3" t="inlineStr">
        <is>
          <t>リハビリテーション課／理学療法士</t>
        </is>
      </c>
      <c r="G138" s="3" t="n">
        <v>168</v>
      </c>
      <c r="H138" s="3" t="n">
        <v>31</v>
      </c>
      <c r="I138" s="3" t="n">
        <v>18</v>
      </c>
      <c r="J138" s="3" t="inlineStr">
        <is>
          <t>現在、算定している</t>
        </is>
      </c>
      <c r="K138" s="3" t="inlineStr">
        <is>
          <t>関節可動域運動, 筋力増強運動, 呼吸リハビリテーション, DVT予防, リラクセーション, ポジショニング, 自主運動指導, 術後リハビリテーションのオリエンテーション</t>
        </is>
      </c>
      <c r="L138" s="3" t="inlineStr">
        <is>
          <t>全症例の50％〜74％程度</t>
        </is>
      </c>
      <c r="M138" s="3" t="inlineStr">
        <is>
          <t>ポジショニング</t>
        </is>
      </c>
      <c r="N138" s="3" t="inlineStr">
        <is>
          <t>全症例の0％〜24％程度</t>
        </is>
      </c>
      <c r="P138" s="3" t="inlineStr">
        <is>
          <t>全症例の0％〜24％程度</t>
        </is>
      </c>
      <c r="R138" s="3" t="inlineStr">
        <is>
          <t>全症例の0％〜24％程度</t>
        </is>
      </c>
      <c r="T138" s="3" t="inlineStr">
        <is>
          <t>握力, 5回椅子立ち上がりテスト, 歩行速度, SPPB, 下腿周径, SARC-CalF</t>
        </is>
      </c>
      <c r="V138" s="3" t="inlineStr">
        <is>
          <t>認知機能, 握力</t>
        </is>
      </c>
      <c r="X138" s="3" t="inlineStr">
        <is>
          <t>実施していない</t>
        </is>
      </c>
      <c r="Y138" s="3" t="inlineStr">
        <is>
          <t>ロコチェックを使用している</t>
        </is>
      </c>
      <c r="Z138" s="3" t="inlineStr">
        <is>
          <t>Barthel Index（BI）, FIM</t>
        </is>
      </c>
      <c r="AB138" s="3" t="inlineStr">
        <is>
          <t>HDS-R</t>
        </is>
      </c>
      <c r="AD138" s="3" t="inlineStr">
        <is>
          <t>SPPB、Functional Reach Test（FRT）, 5回椅子立ち上がりテスト, 認知機能</t>
        </is>
      </c>
      <c r="AF138" s="3" t="inlineStr">
        <is>
          <t>決まっていない</t>
        </is>
      </c>
      <c r="AH138" s="3" t="inlineStr">
        <is>
          <t>転院、転棟前に実施</t>
        </is>
      </c>
      <c r="AI138" s="3" t="inlineStr">
        <is>
          <t>下肢筋力強化, バランス練習, 歩行練習, 歩容改善, 起立、着座動作練習, 環境調整, 補助具、装具の適正化, 認知面への介入, 行動面への介入, 教育、指導</t>
        </is>
      </c>
    </row>
    <row r="139" ht="22.5" customHeight="1">
      <c r="A139" s="32" t="n">
        <v>46098.64328604167</v>
      </c>
      <c r="B139" s="3" t="inlineStr">
        <is>
          <t>芝将希</t>
        </is>
      </c>
      <c r="C139" s="3" t="inlineStr">
        <is>
          <t>千船病院</t>
        </is>
      </c>
      <c r="D139" s="3" t="inlineStr">
        <is>
          <t>大阪府</t>
        </is>
      </c>
      <c r="E139" s="3" t="inlineStr">
        <is>
          <t>shiba.shouki@aijinkai-grope.com</t>
        </is>
      </c>
      <c r="F139" s="3" t="inlineStr">
        <is>
          <t>リハビリテーション科/理学療法士</t>
        </is>
      </c>
      <c r="G139" s="3" t="n">
        <v>156</v>
      </c>
      <c r="H139" s="3" t="n">
        <v>16</v>
      </c>
      <c r="I139" s="3" t="n">
        <v>3</v>
      </c>
      <c r="J139" s="3" t="inlineStr">
        <is>
          <t>現在、算定している</t>
        </is>
      </c>
      <c r="K139" s="3" t="inlineStr">
        <is>
          <t>関節可動域運動, 筋力増強運動, 自主運動指導, 術後リハビリテーションのオリエンテーション</t>
        </is>
      </c>
      <c r="L139" s="3" t="inlineStr">
        <is>
          <t>全症例の50％〜74％程度</t>
        </is>
      </c>
      <c r="N139" s="3" t="inlineStr">
        <is>
          <t>全症例の0％〜24％程度</t>
        </is>
      </c>
      <c r="P139" s="3" t="inlineStr">
        <is>
          <t>全症例の0％〜24％程度</t>
        </is>
      </c>
      <c r="R139" s="3" t="inlineStr">
        <is>
          <t>全症例の0％〜24％程度</t>
        </is>
      </c>
      <c r="T139" s="3" t="inlineStr">
        <is>
          <t>握力, 膝伸展筋力, 下腿周径</t>
        </is>
      </c>
      <c r="V139" s="3" t="inlineStr">
        <is>
          <t>認知機能, 握力</t>
        </is>
      </c>
      <c r="X139" s="3" t="inlineStr">
        <is>
          <t>実施していない</t>
        </is>
      </c>
      <c r="Z139" s="3" t="inlineStr">
        <is>
          <t>Barthel Index（BI）, FIM</t>
        </is>
      </c>
      <c r="AB139" s="3" t="inlineStr">
        <is>
          <t>MMSE, HDS-R, AMTS</t>
        </is>
      </c>
      <c r="AD139" s="3" t="inlineStr">
        <is>
          <t>定量的な下肢筋力測定, 認知機能, 過去の転倒歴</t>
        </is>
      </c>
      <c r="AF139" s="3" t="inlineStr">
        <is>
          <t>わからない</t>
        </is>
      </c>
      <c r="AI139" s="3" t="inlineStr">
        <is>
          <t>下肢筋力強化, バランス練習, 環境調整</t>
        </is>
      </c>
    </row>
    <row r="140" ht="22.5" customHeight="1">
      <c r="A140" s="32" t="n">
        <v>46098.66842820602</v>
      </c>
      <c r="B140" s="3" t="inlineStr">
        <is>
          <t>小松　裕和</t>
        </is>
      </c>
      <c r="C140" s="3" t="inlineStr">
        <is>
          <t>米沢市立病院</t>
        </is>
      </c>
      <c r="D140" s="3" t="inlineStr">
        <is>
          <t>山形県</t>
        </is>
      </c>
      <c r="E140" s="3" t="inlineStr">
        <is>
          <t>rehabili@yone-city-hp.jp</t>
        </is>
      </c>
      <c r="F140" s="3" t="inlineStr">
        <is>
          <t>リハビリテーション科／理学療法士</t>
        </is>
      </c>
      <c r="G140" s="3" t="n">
        <v>146</v>
      </c>
      <c r="H140" s="3" t="n">
        <v>3</v>
      </c>
      <c r="I140" s="3" t="n">
        <v>0</v>
      </c>
      <c r="J140" s="3" t="inlineStr">
        <is>
          <t>届け出はしていないが、現在検討中である</t>
        </is>
      </c>
      <c r="K140" s="3" t="inlineStr">
        <is>
          <t>実施していない</t>
        </is>
      </c>
      <c r="L140" s="3" t="inlineStr">
        <is>
          <t>全症例の25％〜49％程度</t>
        </is>
      </c>
      <c r="N140" s="3" t="inlineStr">
        <is>
          <t>全症例の25％〜49％程度</t>
        </is>
      </c>
      <c r="P140" s="3" t="inlineStr">
        <is>
          <t>全症例の0％〜24％程度</t>
        </is>
      </c>
      <c r="R140" s="3" t="inlineStr">
        <is>
          <t>全症例の0％〜24％程度</t>
        </is>
      </c>
      <c r="T140" s="3" t="inlineStr">
        <is>
          <t>実施していない</t>
        </is>
      </c>
      <c r="U140" s="3" t="inlineStr">
        <is>
          <t>術後2週で回復期病院へ転院するため</t>
        </is>
      </c>
      <c r="V140" s="3" t="inlineStr">
        <is>
          <t>実施していない</t>
        </is>
      </c>
      <c r="W140" s="3" t="inlineStr">
        <is>
          <t>術後2週で回復期病院へ転院するため</t>
        </is>
      </c>
      <c r="X140" s="3" t="inlineStr">
        <is>
          <t>実施していない</t>
        </is>
      </c>
      <c r="Y140" s="3" t="inlineStr">
        <is>
          <t>術後2週で回復期病院へ転院するため</t>
        </is>
      </c>
      <c r="Z140" s="3" t="inlineStr">
        <is>
          <t>Barthel Index（BI）</t>
        </is>
      </c>
      <c r="AB140" s="3" t="inlineStr">
        <is>
          <t>HDS-R</t>
        </is>
      </c>
      <c r="AD140" s="3" t="inlineStr">
        <is>
          <t>実施していない</t>
        </is>
      </c>
      <c r="AE140" s="3" t="inlineStr">
        <is>
          <t>院内で定められているものはない</t>
        </is>
      </c>
      <c r="AI140" s="3" t="inlineStr">
        <is>
          <t>下肢筋力強化, 歩行練習, 起立、着座動作練習</t>
        </is>
      </c>
    </row>
    <row r="141" ht="22.5" customHeight="1">
      <c r="A141" s="32" t="n">
        <v>46098.70566820602</v>
      </c>
      <c r="B141" s="3" t="inlineStr">
        <is>
          <t>左少　悠大</t>
        </is>
      </c>
      <c r="C141" s="3" t="inlineStr">
        <is>
          <t>津久見市医師会立津久見中央病院</t>
        </is>
      </c>
      <c r="D141" s="3" t="inlineStr">
        <is>
          <t>大分県</t>
        </is>
      </c>
      <c r="E141" s="3" t="inlineStr">
        <is>
          <t>reha-tch@tsukumi.oita.med.or.jp</t>
        </is>
      </c>
      <c r="F141" s="3" t="inlineStr">
        <is>
          <t>リハビリテーション科/理学療法士</t>
        </is>
      </c>
      <c r="G141" s="3" t="n">
        <v>19</v>
      </c>
      <c r="H141" s="3" t="n">
        <v>10</v>
      </c>
      <c r="I141" s="3" t="n">
        <v>7</v>
      </c>
      <c r="J141" s="3" t="inlineStr">
        <is>
          <t>届け出をしておらず、検討もしていない</t>
        </is>
      </c>
      <c r="K141" s="3" t="inlineStr">
        <is>
          <t>関節可動域運動, 筋力増強運動, DVT予防, リラクセーション, ポジショニング, 自主運動指導, 術後リハビリテーションのオリエンテーション</t>
        </is>
      </c>
      <c r="L141" s="3" t="inlineStr">
        <is>
          <t>全症例の75％〜100％程度</t>
        </is>
      </c>
      <c r="N141" s="3" t="inlineStr">
        <is>
          <t>全症例の0％〜24％程度</t>
        </is>
      </c>
      <c r="P141" s="3" t="inlineStr">
        <is>
          <t>全症例の0％〜24％程度</t>
        </is>
      </c>
      <c r="R141" s="3" t="inlineStr">
        <is>
          <t>全症例の0％〜24％程度</t>
        </is>
      </c>
      <c r="T141" s="3" t="inlineStr">
        <is>
          <t>握力, TUG, 開眼片脚立位時間</t>
        </is>
      </c>
      <c r="V141" s="3" t="inlineStr">
        <is>
          <t>TUG, 握力</t>
        </is>
      </c>
      <c r="X141" s="3" t="inlineStr">
        <is>
          <t>実施していない</t>
        </is>
      </c>
      <c r="Z141" s="3" t="inlineStr">
        <is>
          <t>Barthel Index（BI）, FIM</t>
        </is>
      </c>
      <c r="AB141" s="3" t="inlineStr">
        <is>
          <t>HDS-R, AMTS</t>
        </is>
      </c>
      <c r="AD141" s="3" t="inlineStr">
        <is>
          <t>開眼片脚立位時間, TUG, 認知機能</t>
        </is>
      </c>
      <c r="AF141" s="3" t="inlineStr">
        <is>
          <t>決まっている</t>
        </is>
      </c>
      <c r="AG141" s="3" t="inlineStr">
        <is>
          <t>術後2週間以内</t>
        </is>
      </c>
      <c r="AI141" s="3" t="inlineStr">
        <is>
          <t>下肢筋力強化, バランス練習, 歩行練習, 歩容改善, 起立、着座動作練習, 環境調整, 補助具、装具の適正化</t>
        </is>
      </c>
    </row>
    <row r="142" ht="22.5" customHeight="1">
      <c r="A142" s="32" t="n">
        <v>46098.70775971065</v>
      </c>
      <c r="B142" s="3" t="inlineStr">
        <is>
          <t>永井　康悟</t>
        </is>
      </c>
      <c r="C142" s="3" t="inlineStr">
        <is>
          <t>社会医療法人祐生会　みどりヶ丘病院</t>
        </is>
      </c>
      <c r="D142" s="3" t="inlineStr">
        <is>
          <t>大阪府</t>
        </is>
      </c>
      <c r="E142" s="3" t="inlineStr">
        <is>
          <t>rihabiri@midorigaoka.or.jp</t>
        </is>
      </c>
      <c r="F142" s="3" t="inlineStr">
        <is>
          <t>リハビリテーション部／理学療法士</t>
        </is>
      </c>
      <c r="G142" s="3" t="n">
        <v>200</v>
      </c>
      <c r="H142" s="3" t="n">
        <v>81</v>
      </c>
      <c r="I142" s="3" t="n">
        <v>21</v>
      </c>
      <c r="J142" s="3" t="inlineStr">
        <is>
          <t>現在、算定している</t>
        </is>
      </c>
      <c r="K142" s="3" t="inlineStr">
        <is>
          <t>関節可動域運動, 筋力増強運動, DVT予防, ポジショニング, 自主運動指導, 術後リハビリテーションのオリエンテーション, 離床（例：車椅子移乗,立位,歩行など）</t>
        </is>
      </c>
      <c r="L142" s="3" t="inlineStr">
        <is>
          <t>全症例の25％〜49％程度</t>
        </is>
      </c>
      <c r="N142" s="3" t="inlineStr">
        <is>
          <t>全症例の25％〜49％程度</t>
        </is>
      </c>
      <c r="P142" s="3" t="inlineStr">
        <is>
          <t>全症例の0％〜24％程度</t>
        </is>
      </c>
      <c r="R142" s="3" t="inlineStr">
        <is>
          <t>全症例の0％〜24％程度</t>
        </is>
      </c>
      <c r="T142" s="3" t="inlineStr">
        <is>
          <t>握力, 歩行速度, TUG, 四肢骨格筋量（ASM）, 下腿周径</t>
        </is>
      </c>
      <c r="V142" s="3" t="inlineStr">
        <is>
          <t>TUG, 認知機能, 抑うつや意欲低下, 握力</t>
        </is>
      </c>
      <c r="X142" s="3" t="inlineStr">
        <is>
          <t>立ち上がりテスト, 2ステップテスト</t>
        </is>
      </c>
      <c r="Z142" s="3" t="inlineStr">
        <is>
          <t>Barthel Index（BI）, FIM</t>
        </is>
      </c>
      <c r="AB142" s="3" t="inlineStr">
        <is>
          <t>HDS-R, AMTS</t>
        </is>
      </c>
      <c r="AD142" s="3" t="inlineStr">
        <is>
          <t>開眼片脚立位時間, 認知機能, 過去の転倒歴</t>
        </is>
      </c>
      <c r="AF142" s="3" t="inlineStr">
        <is>
          <t>決まっている</t>
        </is>
      </c>
      <c r="AG142" s="3" t="inlineStr">
        <is>
          <t>術後1週間以内</t>
        </is>
      </c>
      <c r="AI142" s="3" t="inlineStr">
        <is>
          <t>下肢筋力強化, バランス練習, 歩行練習, 歩容改善, 起立、着座動作練習, 環境調整, 補助具、装具の適正化, 認知面への介入, 行動面への介入, 教育、指導</t>
        </is>
      </c>
    </row>
    <row r="143" ht="22.5" customHeight="1">
      <c r="A143" s="32" t="n">
        <v>46098.71033413195</v>
      </c>
      <c r="B143" s="3" t="inlineStr">
        <is>
          <t>西尾　順子</t>
        </is>
      </c>
      <c r="C143" s="3" t="inlineStr">
        <is>
          <t>医療法人社団新風会　玉島中央病院</t>
        </is>
      </c>
      <c r="D143" s="3" t="inlineStr">
        <is>
          <t>岡山県</t>
        </is>
      </c>
      <c r="E143" s="3" t="inlineStr">
        <is>
          <t>rehabili@tamashima-ch.or.jp</t>
        </is>
      </c>
      <c r="F143" s="3" t="inlineStr">
        <is>
          <t>リハビリテーション課／理学療法士</t>
        </is>
      </c>
      <c r="G143" s="3" t="n">
        <v>105</v>
      </c>
      <c r="H143" s="3" t="n">
        <v>37</v>
      </c>
      <c r="I143" s="3" t="n">
        <v>12</v>
      </c>
      <c r="J143" s="3" t="inlineStr">
        <is>
          <t>現在、算定している</t>
        </is>
      </c>
      <c r="K143" s="3" t="inlineStr">
        <is>
          <t>関節可動域運動, 筋力増強運動, ポジショニング</t>
        </is>
      </c>
      <c r="L143" s="3" t="inlineStr">
        <is>
          <t>全症例の25％〜49％程度</t>
        </is>
      </c>
      <c r="N143" s="3" t="inlineStr">
        <is>
          <t>全症例の0％〜24％程度</t>
        </is>
      </c>
      <c r="P143" s="3" t="inlineStr">
        <is>
          <t>全症例の25％〜49％程度</t>
        </is>
      </c>
      <c r="R143" s="3" t="inlineStr">
        <is>
          <t>全症例の0％〜24％程度</t>
        </is>
      </c>
      <c r="T143" s="3" t="inlineStr">
        <is>
          <t>握力, 膝伸展筋力, 歩行速度, TUG, 下腿周径, 各担当者に委ねており、一部のスタッフのみ行っている</t>
        </is>
      </c>
      <c r="V143" s="3" t="inlineStr">
        <is>
          <t>TUG, 握力, 各担当者に委ねており、一部のスタッフのみ行っている</t>
        </is>
      </c>
      <c r="X143" s="3" t="inlineStr">
        <is>
          <t>実施していない</t>
        </is>
      </c>
      <c r="Y143" s="3" t="inlineStr">
        <is>
          <t>ロコモティブシンドロームに対する認識が低いため</t>
        </is>
      </c>
      <c r="Z143" s="3" t="inlineStr">
        <is>
          <t>Barthel Index（BI）, FIM</t>
        </is>
      </c>
      <c r="AB143" s="3" t="inlineStr">
        <is>
          <t>MMSE, HDS-R, mini-cog</t>
        </is>
      </c>
      <c r="AD143" s="3" t="inlineStr">
        <is>
          <t>ベッド周囲および病室環境</t>
        </is>
      </c>
      <c r="AF143" s="3" t="inlineStr">
        <is>
          <t>決まっていない</t>
        </is>
      </c>
      <c r="AH143" s="3" t="inlineStr">
        <is>
          <t>ベッド周囲の環境評価は入棟時や部屋移動時、歩行形態が変わったときなどその都度行っているため</t>
        </is>
      </c>
      <c r="AI143" s="3" t="inlineStr">
        <is>
          <t>下肢筋力強化, バランス練習, 歩行練習, 歩容改善, 起立、着座動作練習, 環境調整, 補助具、装具の適正化, 行動面への介入, 教育、指導</t>
        </is>
      </c>
    </row>
    <row r="144" ht="22.5" customHeight="1">
      <c r="A144" s="32" t="n">
        <v>46098.71708581018</v>
      </c>
      <c r="B144" s="3" t="inlineStr">
        <is>
          <t>赤坂康志</t>
        </is>
      </c>
      <c r="C144" s="3" t="inlineStr">
        <is>
          <t>岩手県立中部病院</t>
        </is>
      </c>
      <c r="D144" s="3" t="inlineStr">
        <is>
          <t>岩手県</t>
        </is>
      </c>
      <c r="E144" s="3" t="inlineStr">
        <is>
          <t>yasushi-akasaka@pref.iwate.jp</t>
        </is>
      </c>
      <c r="F144" s="3" t="inlineStr">
        <is>
          <t>リハビリテーション技術科／理学療法士</t>
        </is>
      </c>
      <c r="G144" s="3" t="n">
        <v>114</v>
      </c>
      <c r="H144" s="3" t="n">
        <v>10</v>
      </c>
      <c r="I144" s="3" t="n">
        <v>2</v>
      </c>
      <c r="J144" s="3" t="inlineStr">
        <is>
          <t>届け出をしておらず、検討もしていない</t>
        </is>
      </c>
      <c r="K144" s="3" t="inlineStr">
        <is>
          <t>実施していない</t>
        </is>
      </c>
      <c r="L144" s="3" t="inlineStr">
        <is>
          <t>全症例の0％〜24％程度</t>
        </is>
      </c>
      <c r="N144" s="3" t="inlineStr">
        <is>
          <t>全症例の0％〜24％程度</t>
        </is>
      </c>
      <c r="P144" s="3" t="inlineStr">
        <is>
          <t>全症例の0％〜24％程度</t>
        </is>
      </c>
      <c r="R144" s="3" t="inlineStr">
        <is>
          <t>全症例の0％〜24％程度</t>
        </is>
      </c>
      <c r="T144" s="3" t="inlineStr">
        <is>
          <t>実施していない</t>
        </is>
      </c>
      <c r="U144" s="3" t="inlineStr">
        <is>
          <t>急性期から回復期への転院が多く離床が主目的となるため</t>
        </is>
      </c>
      <c r="V144" s="3" t="inlineStr">
        <is>
          <t>実施していない</t>
        </is>
      </c>
      <c r="W144" s="3" t="inlineStr">
        <is>
          <t>急性期から回復期への転院が多く離床が主目的となるため</t>
        </is>
      </c>
      <c r="X144" s="3" t="inlineStr">
        <is>
          <t>実施していない</t>
        </is>
      </c>
      <c r="Y144" s="3" t="inlineStr">
        <is>
          <t>急性期から回復期への転院が多く離床が主目的となるため</t>
        </is>
      </c>
      <c r="Z144" s="3" t="inlineStr">
        <is>
          <t>Barthel Index（BI）, FIM</t>
        </is>
      </c>
      <c r="AB144" s="3" t="inlineStr">
        <is>
          <t>HDS-R</t>
        </is>
      </c>
      <c r="AD144" s="3" t="inlineStr">
        <is>
          <t>実施していない</t>
        </is>
      </c>
      <c r="AE144" s="3" t="inlineStr">
        <is>
          <t>転倒転落カンファレンスは実施しているが、FLS活動としては機能していないため</t>
        </is>
      </c>
      <c r="AI144" s="3" t="inlineStr">
        <is>
          <t>下肢筋力強化, バランス練習, 起立、着座動作練習, 環境調整, 行動面への介入, 教育、指導</t>
        </is>
      </c>
    </row>
    <row r="145" ht="22.5" customHeight="1">
      <c r="A145" s="32" t="n">
        <v>46098.73230540509</v>
      </c>
      <c r="B145" s="3" t="inlineStr">
        <is>
          <t>清永健治</t>
        </is>
      </c>
      <c r="C145" s="3" t="inlineStr">
        <is>
          <t>社会福祉法人友志会石橋総合病院</t>
        </is>
      </c>
      <c r="D145" s="3" t="inlineStr">
        <is>
          <t>栃木県</t>
        </is>
      </c>
      <c r="E145" s="3" t="inlineStr">
        <is>
          <t>kenji_kiyokiyo@yahoo.co.jp</t>
        </is>
      </c>
      <c r="G145" s="3" t="n">
        <v>75</v>
      </c>
      <c r="H145" s="3" t="n">
        <v>12</v>
      </c>
      <c r="I145" s="3" t="n">
        <v>4</v>
      </c>
      <c r="J145" s="3" t="inlineStr">
        <is>
          <t>届け出をしておらず、検討もしていない</t>
        </is>
      </c>
      <c r="K145" s="3" t="inlineStr">
        <is>
          <t>関節可動域運動, 筋力増強運動, DVT予防, ポジショニング, 離床（例：車椅子移乗,立位,歩行など）</t>
        </is>
      </c>
      <c r="L145" s="3" t="inlineStr">
        <is>
          <t>全症例の75％〜100％程度</t>
        </is>
      </c>
      <c r="M145" s="3" t="inlineStr">
        <is>
          <t>筋のリラクゼーション後に立位練習、介助量を増やす</t>
        </is>
      </c>
      <c r="N145" s="3" t="inlineStr">
        <is>
          <t>全症例の50％〜74％程度</t>
        </is>
      </c>
      <c r="O145" s="3" t="inlineStr">
        <is>
          <t>傾聴、コミュニケーションをしっかりとる。</t>
        </is>
      </c>
      <c r="P145" s="3" t="inlineStr">
        <is>
          <t>全症例の25％〜49％程度</t>
        </is>
      </c>
      <c r="R145" s="3" t="inlineStr">
        <is>
          <t>全症例の0％〜24％程度</t>
        </is>
      </c>
      <c r="T145" s="3" t="inlineStr">
        <is>
          <t>実施していない</t>
        </is>
      </c>
      <c r="U145" s="3" t="inlineStr">
        <is>
          <t>評価する体制が確立していない。</t>
        </is>
      </c>
      <c r="V145" s="3" t="inlineStr">
        <is>
          <t>実施していない</t>
        </is>
      </c>
      <c r="W145" s="3" t="inlineStr">
        <is>
          <t>知識不足</t>
        </is>
      </c>
      <c r="X145" s="3" t="inlineStr">
        <is>
          <t>実施していない</t>
        </is>
      </c>
      <c r="Y145" s="3" t="inlineStr">
        <is>
          <t>重要視していなかった。</t>
        </is>
      </c>
      <c r="Z145" s="3" t="inlineStr">
        <is>
          <t>Barthel Index（BI）, FIM</t>
        </is>
      </c>
      <c r="AB145" s="3" t="inlineStr">
        <is>
          <t>MMSE, HDS-R</t>
        </is>
      </c>
      <c r="AD145" s="3" t="inlineStr">
        <is>
          <t>10m歩行速度, Berg Balance Scale（BBS）</t>
        </is>
      </c>
      <c r="AF145" s="3" t="inlineStr">
        <is>
          <t>決まっていない</t>
        </is>
      </c>
      <c r="AH145" s="3" t="inlineStr">
        <is>
          <t>異動形態変更時に実施するため</t>
        </is>
      </c>
      <c r="AI145" s="3" t="inlineStr">
        <is>
          <t>下肢筋力強化, バランス練習, 歩行練習, 歩容改善, 起立、着座動作練習, 環境調整, 教育、指導</t>
        </is>
      </c>
    </row>
    <row r="146" ht="22.5" customHeight="1">
      <c r="A146" s="32" t="n">
        <v>46098.76908439815</v>
      </c>
      <c r="B146" s="3" t="inlineStr">
        <is>
          <t>伊藤大輔</t>
        </is>
      </c>
      <c r="C146" s="3" t="inlineStr">
        <is>
          <t>一宮市立市民病院</t>
        </is>
      </c>
      <c r="D146" s="3" t="inlineStr">
        <is>
          <t>愛知県</t>
        </is>
      </c>
      <c r="E146" s="3" t="inlineStr">
        <is>
          <t>dit0821@gmail.com</t>
        </is>
      </c>
      <c r="F146" s="3" t="inlineStr">
        <is>
          <t>リハビリテーション室/理学療法士</t>
        </is>
      </c>
      <c r="G146" s="3" t="n">
        <v>188</v>
      </c>
      <c r="H146" s="3" t="n">
        <v>4</v>
      </c>
      <c r="I146" s="3" t="n">
        <v>0</v>
      </c>
      <c r="J146" s="3" t="inlineStr">
        <is>
          <t>届け出をしておらず、検討もしていない</t>
        </is>
      </c>
      <c r="K146" s="3" t="inlineStr">
        <is>
          <t>関節可動域運動, 筋力増強運動, DVT予防, 自主運動指導, 術後リハビリテーションのオリエンテーション, 離床（例：車椅子移乗,立位,歩行など）</t>
        </is>
      </c>
      <c r="L146" s="3" t="inlineStr">
        <is>
          <t>全症例の50％〜74％程度</t>
        </is>
      </c>
      <c r="M146" s="3" t="inlineStr">
        <is>
          <t>手すり等の工夫</t>
        </is>
      </c>
      <c r="N146" s="3" t="inlineStr">
        <is>
          <t>全症例の25％〜49％程度</t>
        </is>
      </c>
      <c r="P146" s="3" t="inlineStr">
        <is>
          <t>全症例の0％〜24％程度</t>
        </is>
      </c>
      <c r="R146" s="3" t="inlineStr">
        <is>
          <t>全症例の0％〜24％程度</t>
        </is>
      </c>
      <c r="T146" s="3" t="inlineStr">
        <is>
          <t>握力, 下腿周径</t>
        </is>
      </c>
      <c r="V146" s="3" t="inlineStr">
        <is>
          <t>実施していない</t>
        </is>
      </c>
      <c r="X146" s="3" t="inlineStr">
        <is>
          <t>ロコチェック</t>
        </is>
      </c>
      <c r="Z146" s="3" t="inlineStr">
        <is>
          <t>Barthel Index（BI）</t>
        </is>
      </c>
      <c r="AB146" s="3" t="inlineStr">
        <is>
          <t>HDS-R, AMTS</t>
        </is>
      </c>
      <c r="AD146" s="3" t="inlineStr">
        <is>
          <t>過去の転倒歴, 既往疾患の有無（脳血管疾患、パーキンソン病など）, 薬剤（向精神薬、降圧薬、利尿薬、ポリファーマシーなど）, ベッド周囲および病室環境, 転倒転落アセスメントシート</t>
        </is>
      </c>
      <c r="AF146" s="3" t="inlineStr">
        <is>
          <t>決まっている</t>
        </is>
      </c>
      <c r="AG146" s="3" t="inlineStr">
        <is>
          <t>術前、もしくは術後1日目</t>
        </is>
      </c>
      <c r="AI146" s="3" t="inlineStr">
        <is>
          <t>下肢筋力強化, バランス練習, 歩行練習, 起立、着座動作練習, 環境調整, 補助具、装具の適正化, 教育、指導</t>
        </is>
      </c>
    </row>
    <row r="147" ht="22.5" customHeight="1">
      <c r="A147" s="32" t="n">
        <v>46098.77301182871</v>
      </c>
      <c r="B147" s="3" t="inlineStr">
        <is>
          <t>佐藤　英子</t>
        </is>
      </c>
      <c r="C147" s="3" t="inlineStr">
        <is>
          <t>社会医療法人　第一東和会病院</t>
        </is>
      </c>
      <c r="D147" s="3" t="inlineStr">
        <is>
          <t>大阪府</t>
        </is>
      </c>
      <c r="E147" s="3" t="inlineStr">
        <is>
          <t>a.takeda@towa-med.or.jp</t>
        </is>
      </c>
      <c r="F147" s="3" t="inlineStr">
        <is>
          <t>診療技術・リハビリテーション部／リハビリテーション科／理学療法士</t>
        </is>
      </c>
      <c r="G147" s="3" t="n">
        <v>200</v>
      </c>
      <c r="H147" s="3" t="n">
        <v>27</v>
      </c>
      <c r="I147" s="3" t="n">
        <v>5</v>
      </c>
      <c r="J147" s="3" t="inlineStr">
        <is>
          <t>現在、算定している</t>
        </is>
      </c>
      <c r="K147" s="3" t="inlineStr">
        <is>
          <t>実施していない</t>
        </is>
      </c>
      <c r="L147" s="3" t="inlineStr">
        <is>
          <t>全症例の0％〜24％程度</t>
        </is>
      </c>
      <c r="N147" s="3" t="inlineStr">
        <is>
          <t>全症例の25％〜49％程度</t>
        </is>
      </c>
      <c r="P147" s="3" t="inlineStr">
        <is>
          <t>全症例の0％〜24％程度</t>
        </is>
      </c>
      <c r="R147" s="3" t="inlineStr">
        <is>
          <t>全症例の0％〜24％程度</t>
        </is>
      </c>
      <c r="T147" s="3" t="inlineStr">
        <is>
          <t>握力, 膝伸展筋力, 5回椅子立ち上がりテスト, 歩行速度, TUG, 開眼片脚立位時間, 下腿周径</t>
        </is>
      </c>
      <c r="V147" s="3" t="inlineStr">
        <is>
          <t>TUG, 認知機能, 握力</t>
        </is>
      </c>
      <c r="X147" s="3" t="inlineStr">
        <is>
          <t>立ち上がりテスト</t>
        </is>
      </c>
      <c r="Z147" s="3" t="inlineStr">
        <is>
          <t>Barthel Index（BI）</t>
        </is>
      </c>
      <c r="AB147" s="3" t="inlineStr">
        <is>
          <t>MMSE, HDS-R</t>
        </is>
      </c>
      <c r="AD147" s="3" t="inlineStr">
        <is>
          <t>実施していない</t>
        </is>
      </c>
      <c r="AE147" s="3" t="inlineStr">
        <is>
          <t>FLS活動をまだ行っていないため</t>
        </is>
      </c>
      <c r="AI147" s="3" t="inlineStr">
        <is>
          <t>下肢筋力強化, バランス練習, 歩行練習, 歩容改善, 起立、着座動作練習, 環境調整, 補助具、装具の適正化, 認知面への介入, 行動面への介入, 教育、指導</t>
        </is>
      </c>
    </row>
    <row r="148" ht="22.5" customHeight="1">
      <c r="A148" s="32" t="n">
        <v>46098.82519471065</v>
      </c>
      <c r="B148" s="3" t="inlineStr">
        <is>
          <t>村上　友信</t>
        </is>
      </c>
      <c r="C148" s="3" t="inlineStr">
        <is>
          <t>社会医療法人　陽明会　小波瀬病院</t>
        </is>
      </c>
      <c r="D148" s="3" t="inlineStr">
        <is>
          <t>福岡県</t>
        </is>
      </c>
      <c r="E148" s="3" t="inlineStr">
        <is>
          <t>riha-shirakawa@youmeikai.jp</t>
        </is>
      </c>
      <c r="F148" s="3" t="inlineStr">
        <is>
          <t>リハビリテーション科／理学療法士</t>
        </is>
      </c>
      <c r="G148" s="3" t="n">
        <v>72</v>
      </c>
      <c r="H148" s="3" t="n">
        <v>25</v>
      </c>
      <c r="I148" s="3" t="n">
        <v>10</v>
      </c>
      <c r="J148" s="3" t="inlineStr">
        <is>
          <t>届け出はしていないが、現在検討中である</t>
        </is>
      </c>
      <c r="K148" s="3" t="inlineStr">
        <is>
          <t>関節可動域運動, 筋力増強運動, 呼吸リハビリテーション, DVT予防, ポジショニング, 自主運動指導, 術後リハビリテーションのオリエンテーション</t>
        </is>
      </c>
      <c r="L148" s="3" t="inlineStr">
        <is>
          <t>全症例の25％〜49％程度</t>
        </is>
      </c>
      <c r="N148" s="3" t="inlineStr">
        <is>
          <t>全症例の0％〜24％程度</t>
        </is>
      </c>
      <c r="P148" s="3" t="inlineStr">
        <is>
          <t>全症例の0％〜24％程度</t>
        </is>
      </c>
      <c r="R148" s="3" t="inlineStr">
        <is>
          <t>全症例の0％〜24％程度</t>
        </is>
      </c>
      <c r="T148" s="3" t="inlineStr">
        <is>
          <t>膝伸展筋力, 歩行速度, TUG, 開眼片脚立位時間, 下腿周径</t>
        </is>
      </c>
      <c r="V148" s="3" t="inlineStr">
        <is>
          <t>TUG, 認知機能</t>
        </is>
      </c>
      <c r="X148" s="3" t="inlineStr">
        <is>
          <t>立ち上がりテスト, 2ステップテスト, ロコモ25（質問票）</t>
        </is>
      </c>
      <c r="Z148" s="3" t="inlineStr">
        <is>
          <t>Barthel Index（BI）, FIM</t>
        </is>
      </c>
      <c r="AB148" s="3" t="inlineStr">
        <is>
          <t>MMSE, HDS-R</t>
        </is>
      </c>
      <c r="AD148" s="3" t="inlineStr">
        <is>
          <t>定量的な下肢筋力測定, 開眼片脚立位時間, 10m歩行速度, Berg Balance Scale（BBS）, SPPB、Functional Reach Test（FRT）, 認知機能, 既往疾患の有無（脳血管疾患、パーキンソン病など）, ベッド周囲および病室環境</t>
        </is>
      </c>
      <c r="AF148" s="3" t="inlineStr">
        <is>
          <t>決まっている</t>
        </is>
      </c>
      <c r="AG148" s="3" t="inlineStr">
        <is>
          <t>歩行車/歩行器歩行や杖歩行の自立を検討する時期に実施</t>
        </is>
      </c>
      <c r="AI148" s="3" t="inlineStr">
        <is>
          <t>下肢筋力強化, バランス練習, 歩行練習, 歩容改善, 起立、着座動作練習, 環境調整, 補助具、装具の適正化, 認知面への介入, 行動面への介入</t>
        </is>
      </c>
    </row>
    <row r="149" ht="22.5" customHeight="1">
      <c r="A149" s="32" t="n">
        <v>46098.84379185185</v>
      </c>
      <c r="B149" s="3" t="inlineStr">
        <is>
          <t>島田　美紀代</t>
        </is>
      </c>
      <c r="C149" s="3" t="inlineStr">
        <is>
          <t>愛知県厚生農業協同組合連合会　稲沢厚生病院</t>
        </is>
      </c>
      <c r="D149" s="3" t="inlineStr">
        <is>
          <t>愛知県</t>
        </is>
      </c>
      <c r="E149" s="3" t="inlineStr">
        <is>
          <t>ijika@inazawa.jaaikosei.or.jp</t>
        </is>
      </c>
      <c r="F149" s="3" t="inlineStr">
        <is>
          <t>リハビリテーション室/作業療法士</t>
        </is>
      </c>
      <c r="G149" s="3" t="n">
        <v>96</v>
      </c>
      <c r="H149" s="3" t="n">
        <v>9</v>
      </c>
      <c r="I149" s="3" t="n">
        <v>6</v>
      </c>
      <c r="J149" s="3" t="inlineStr">
        <is>
          <t>届け出をしておらず、検討もしていない</t>
        </is>
      </c>
      <c r="K149" s="3" t="inlineStr">
        <is>
          <t>関節可動域運動, 筋力増強運動, DVT予防, 自主運動指導</t>
        </is>
      </c>
      <c r="L149" s="3" t="inlineStr">
        <is>
          <t>全症例の25％〜49％程度</t>
        </is>
      </c>
      <c r="N149" s="3" t="inlineStr">
        <is>
          <t>全症例の25％〜49％程度</t>
        </is>
      </c>
      <c r="P149" s="3" t="inlineStr">
        <is>
          <t>全症例の0％〜24％程度</t>
        </is>
      </c>
      <c r="R149" s="3" t="inlineStr">
        <is>
          <t>全症例の0％〜24％程度</t>
        </is>
      </c>
      <c r="T149" s="3" t="inlineStr">
        <is>
          <t>握力, 5回椅子立ち上がりテスト, SPPB, TUG, 下腿周径</t>
        </is>
      </c>
      <c r="V149" s="3" t="inlineStr">
        <is>
          <t>TUG, 握力</t>
        </is>
      </c>
      <c r="X149" s="3" t="inlineStr">
        <is>
          <t>立ち上がりテスト</t>
        </is>
      </c>
      <c r="Z149" s="3" t="inlineStr">
        <is>
          <t>Barthel Index（BI）, FIM</t>
        </is>
      </c>
      <c r="AB149" s="3" t="inlineStr">
        <is>
          <t>MMSE, HDS-R</t>
        </is>
      </c>
      <c r="AD149" s="3" t="inlineStr">
        <is>
          <t>入退院時の移動介助量の評価</t>
        </is>
      </c>
      <c r="AF149" s="3" t="inlineStr">
        <is>
          <t>決まっている</t>
        </is>
      </c>
      <c r="AG149" s="3" t="inlineStr">
        <is>
          <t>具体的な日数ではないが、1か月程度を目処に評価している。</t>
        </is>
      </c>
      <c r="AI149" s="3" t="inlineStr">
        <is>
          <t>下肢筋力強化, 歩行練習, 起立、着座動作練習, 教育、指導</t>
        </is>
      </c>
    </row>
    <row r="150" ht="22.5" customHeight="1">
      <c r="A150" s="32" t="n">
        <v>46099.25498662037</v>
      </c>
      <c r="B150" s="3" t="inlineStr">
        <is>
          <t>下川翔平</t>
        </is>
      </c>
      <c r="C150" s="3" t="inlineStr">
        <is>
          <t>医療法人社団愛友会　伊奈病院</t>
        </is>
      </c>
      <c r="D150" s="3" t="inlineStr">
        <is>
          <t>埼玉県</t>
        </is>
      </c>
      <c r="E150" s="3" t="inlineStr">
        <is>
          <t>s_shimokawa@inahp.saitama.jp</t>
        </is>
      </c>
      <c r="F150" s="3" t="inlineStr">
        <is>
          <t>リハビリテーション技術科/理学療法士</t>
        </is>
      </c>
      <c r="G150" s="3" t="n">
        <v>124</v>
      </c>
      <c r="H150" s="3" t="n">
        <v>20</v>
      </c>
      <c r="I150" s="3" t="n">
        <v>8</v>
      </c>
      <c r="J150" s="3" t="inlineStr">
        <is>
          <t>現在、算定している</t>
        </is>
      </c>
      <c r="K150" s="3" t="inlineStr">
        <is>
          <t>関節可動域運動, 筋力増強運動, 呼吸リハビリテーション, DVT予防, リラクセーション, ポジショニング, 自主運動指導, 術後リハビリテーションのオリエンテーション</t>
        </is>
      </c>
      <c r="L150" s="3" t="inlineStr">
        <is>
          <t>全症例の0％〜24％程度</t>
        </is>
      </c>
      <c r="N150" s="3" t="inlineStr">
        <is>
          <t>全症例の0％〜24％程度</t>
        </is>
      </c>
      <c r="P150" s="3" t="inlineStr">
        <is>
          <t>全症例の0％〜24％程度</t>
        </is>
      </c>
      <c r="R150" s="3" t="inlineStr">
        <is>
          <t>全症例の0％〜24％程度</t>
        </is>
      </c>
      <c r="T150" s="3" t="inlineStr">
        <is>
          <t>実施していない</t>
        </is>
      </c>
      <c r="U150" s="3" t="inlineStr">
        <is>
          <t>ルーティン化した評価はなし。個人によってばらつきあり。</t>
        </is>
      </c>
      <c r="V150" s="3" t="inlineStr">
        <is>
          <t>実施していない</t>
        </is>
      </c>
      <c r="W150" s="3" t="inlineStr">
        <is>
          <t>ルーティン化した評価はなし。個人によってばらつきあり。</t>
        </is>
      </c>
      <c r="X150" s="3" t="inlineStr">
        <is>
          <t>実施していない</t>
        </is>
      </c>
      <c r="Y150" s="3" t="inlineStr">
        <is>
          <t>ルーティン化した評価はなし。個人によってばらつきあり。</t>
        </is>
      </c>
      <c r="Z150" s="3" t="inlineStr">
        <is>
          <t>Barthel Index（BI）</t>
        </is>
      </c>
      <c r="AB150" s="3" t="inlineStr">
        <is>
          <t>HDS-R</t>
        </is>
      </c>
      <c r="AD150" s="3" t="inlineStr">
        <is>
          <t>認知機能</t>
        </is>
      </c>
      <c r="AF150" s="3" t="inlineStr">
        <is>
          <t>決まっていない</t>
        </is>
      </c>
      <c r="AH150" s="3" t="inlineStr">
        <is>
          <t>特になし</t>
        </is>
      </c>
      <c r="AI150" s="3" t="inlineStr">
        <is>
          <t>下肢筋力強化, バランス練習, 歩行練習, 歩容改善, 起立、着座動作練習, 環境調整, 補助具、装具の適正化, 認知面への介入, 行動面への介入, 教育、指導</t>
        </is>
      </c>
    </row>
    <row r="151" ht="22.5" customHeight="1">
      <c r="A151" s="32" t="n">
        <v>46099.3645168287</v>
      </c>
      <c r="B151" s="3" t="inlineStr">
        <is>
          <t>田辺理恵</t>
        </is>
      </c>
      <c r="C151" s="3" t="inlineStr">
        <is>
          <t>国際医療福祉大学三田病院</t>
        </is>
      </c>
      <c r="D151" s="3" t="inlineStr">
        <is>
          <t>東京都</t>
        </is>
      </c>
      <c r="E151" s="3" t="inlineStr">
        <is>
          <t>rie.tanabe.pt@ihwg.jp</t>
        </is>
      </c>
      <c r="F151" s="3" t="inlineStr">
        <is>
          <t>リハビリテーション室　理学療法士</t>
        </is>
      </c>
      <c r="G151" s="3" t="n">
        <v>57</v>
      </c>
      <c r="H151" s="3" t="n">
        <v>15</v>
      </c>
      <c r="I151" s="3" t="n">
        <v>9</v>
      </c>
      <c r="J151" s="3" t="inlineStr">
        <is>
          <t>現在、算定している</t>
        </is>
      </c>
      <c r="K151" s="3" t="inlineStr">
        <is>
          <t>関節可動域運動, 筋力増強運動, 術後リハビリテーションのオリエンテーション</t>
        </is>
      </c>
      <c r="L151" s="3" t="inlineStr">
        <is>
          <t>全症例の75％〜100％程度</t>
        </is>
      </c>
      <c r="M151" s="3" t="inlineStr">
        <is>
          <t xml:space="preserve">クーリング　</t>
        </is>
      </c>
      <c r="N151" s="3" t="inlineStr">
        <is>
          <t>全症例の50％〜74％程度</t>
        </is>
      </c>
      <c r="O151" s="3" t="inlineStr">
        <is>
          <t>看護師による頻回な離床、声掛け　投薬コントロール</t>
        </is>
      </c>
      <c r="P151" s="3" t="inlineStr">
        <is>
          <t>全症例の25％〜49％程度</t>
        </is>
      </c>
      <c r="R151" s="3" t="inlineStr">
        <is>
          <t>全症例の0％〜24％程度</t>
        </is>
      </c>
      <c r="T151" s="3" t="inlineStr">
        <is>
          <t>握力, 5回椅子立ち上がりテスト, 歩行速度, TUG, 6分間歩行距離</t>
        </is>
      </c>
      <c r="V151" s="3" t="inlineStr">
        <is>
          <t>TUG, 6分間歩行距離, 握力</t>
        </is>
      </c>
      <c r="X151" s="3" t="inlineStr">
        <is>
          <t>立ち上がりテスト</t>
        </is>
      </c>
      <c r="Z151" s="3" t="inlineStr">
        <is>
          <t>Barthel Index（BI）, FIM</t>
        </is>
      </c>
      <c r="AB151" s="3" t="inlineStr">
        <is>
          <t>MMSE, HDS-R</t>
        </is>
      </c>
      <c r="AD151" s="3" t="inlineStr">
        <is>
          <t>定量的な下肢筋力測定, 開眼片脚立位時間, TUG, 10m歩行速度, 5回椅子立ち上がりテスト</t>
        </is>
      </c>
      <c r="AF151" s="3" t="inlineStr">
        <is>
          <t>決まっていない</t>
        </is>
      </c>
      <c r="AH151" s="3" t="inlineStr">
        <is>
          <t>各セラピストの評価に準じている</t>
        </is>
      </c>
      <c r="AI151" s="3" t="inlineStr">
        <is>
          <t>下肢筋力強化, バランス練習, 歩行練習, 環境調整, 認知面への介入, 行動面への介入</t>
        </is>
      </c>
    </row>
    <row r="152" ht="22.5" customHeight="1">
      <c r="A152" s="32" t="n">
        <v>46099.37960371528</v>
      </c>
      <c r="B152" s="3" t="inlineStr">
        <is>
          <t>小田優貴</t>
        </is>
      </c>
      <c r="C152" s="3" t="inlineStr">
        <is>
          <t>新潟厚生連　新潟医療センター</t>
        </is>
      </c>
      <c r="D152" s="3" t="inlineStr">
        <is>
          <t>新潟県</t>
        </is>
      </c>
      <c r="E152" s="3" t="inlineStr">
        <is>
          <t>reha@niigata-medical.jp</t>
        </is>
      </c>
      <c r="G152" s="3" t="n">
        <v>147</v>
      </c>
      <c r="H152" s="3" t="n">
        <v>14</v>
      </c>
      <c r="I152" s="3" t="n">
        <v>7</v>
      </c>
      <c r="J152" s="3" t="inlineStr">
        <is>
          <t>届け出をしておらず、検討もしていない</t>
        </is>
      </c>
      <c r="K152" s="3" t="inlineStr">
        <is>
          <t>関節可動域運動, 筋力増強運動, DVT予防, リラクセーション, ポジショニング</t>
        </is>
      </c>
      <c r="L152" s="3" t="inlineStr">
        <is>
          <t>全症例の0％〜24％程度</t>
        </is>
      </c>
      <c r="N152" s="3" t="inlineStr">
        <is>
          <t>全症例の0％〜24％程度</t>
        </is>
      </c>
      <c r="P152" s="3" t="inlineStr">
        <is>
          <t>全症例の0％〜24％程度</t>
        </is>
      </c>
      <c r="R152" s="3" t="inlineStr">
        <is>
          <t>全症例の0％〜24％程度</t>
        </is>
      </c>
      <c r="T152" s="3" t="inlineStr">
        <is>
          <t>握力, 骨格筋量指数（SMI）, 下腿周径</t>
        </is>
      </c>
      <c r="V152" s="3" t="inlineStr">
        <is>
          <t>認知機能, 握力</t>
        </is>
      </c>
      <c r="X152" s="3" t="inlineStr">
        <is>
          <t>実施していない</t>
        </is>
      </c>
      <c r="Z152" s="3" t="inlineStr">
        <is>
          <t>FIM</t>
        </is>
      </c>
      <c r="AB152" s="3" t="inlineStr">
        <is>
          <t>HDS-R, AMTS</t>
        </is>
      </c>
      <c r="AD152" s="3" t="inlineStr">
        <is>
          <t>定量的な下肢筋力測定, SPPB、Functional Reach Test（FRT）, 認知機能</t>
        </is>
      </c>
      <c r="AF152" s="3" t="inlineStr">
        <is>
          <t>決まっている</t>
        </is>
      </c>
      <c r="AG152" s="3" t="inlineStr">
        <is>
          <t>認知機能については、せん妄等がなく座位にて可能となった段階で行っている。下肢筋力は術後２週時点、SPPBは退院時に実施。</t>
        </is>
      </c>
      <c r="AI152" s="3" t="inlineStr">
        <is>
          <t>下肢筋力強化, バランス練習, 歩行練習, 歩容改善, 起立、着座動作練習, 環境調整, 認知面への介入, 行動面への介入, 教育、指導</t>
        </is>
      </c>
    </row>
    <row r="153" ht="22.5" customHeight="1">
      <c r="A153" s="32" t="n">
        <v>46099.41684737268</v>
      </c>
      <c r="B153" s="3" t="inlineStr">
        <is>
          <t>品川　寛和</t>
        </is>
      </c>
      <c r="C153" s="3" t="inlineStr">
        <is>
          <t>独立行政法人　国立病院機構　佐賀病院</t>
        </is>
      </c>
      <c r="D153" s="3" t="inlineStr">
        <is>
          <t>佐賀県</t>
        </is>
      </c>
      <c r="E153" s="3" t="inlineStr">
        <is>
          <t>shinagawa.hirokazu.sl@mail.hosp.go.jp</t>
        </is>
      </c>
      <c r="F153" s="3" t="inlineStr">
        <is>
          <t>リハビリテーション科　理学療法士</t>
        </is>
      </c>
      <c r="G153" s="3" t="n">
        <v>211</v>
      </c>
      <c r="H153" s="3" t="n">
        <v>8</v>
      </c>
      <c r="I153" s="3" t="n">
        <v>4</v>
      </c>
      <c r="J153" s="3" t="inlineStr">
        <is>
          <t>届け出はしていないが、現在検討中である</t>
        </is>
      </c>
      <c r="K153" s="3" t="inlineStr">
        <is>
          <t>実施していない</t>
        </is>
      </c>
      <c r="L153" s="3" t="inlineStr">
        <is>
          <t>全症例の50％〜74％程度</t>
        </is>
      </c>
      <c r="M153" s="3" t="inlineStr">
        <is>
          <t>疼痛コントロール、クーリング、ギャッチアップ等を訓練及び病棟内で実施</t>
        </is>
      </c>
      <c r="N153" s="3" t="inlineStr">
        <is>
          <t>全症例の0％〜24％程度</t>
        </is>
      </c>
      <c r="P153" s="3" t="inlineStr">
        <is>
          <t>全症例の25％〜49％程度</t>
        </is>
      </c>
      <c r="R153" s="3" t="inlineStr">
        <is>
          <t>全症例の0％〜24％程度</t>
        </is>
      </c>
      <c r="T153" s="3" t="inlineStr">
        <is>
          <t>実施していない</t>
        </is>
      </c>
      <c r="U153" s="3" t="inlineStr">
        <is>
          <t>術後評価としていくつかの項目の評価はするも、サルコペニアの評価としては実施していない</t>
        </is>
      </c>
      <c r="V153" s="3" t="inlineStr">
        <is>
          <t>実施していない</t>
        </is>
      </c>
      <c r="W153" s="3" t="inlineStr">
        <is>
          <t>術後評価としていくつかの項目の評価はするも、フレイルの評価としては実施していない</t>
        </is>
      </c>
      <c r="X153" s="3" t="inlineStr">
        <is>
          <t>実施していない</t>
        </is>
      </c>
      <c r="Y153" s="3" t="inlineStr">
        <is>
          <t>術後評価としていくつかの項目の評価はするも、ロコモティブシンドロームの評価としては実施していない</t>
        </is>
      </c>
      <c r="Z153" s="3" t="inlineStr">
        <is>
          <t>Barthel Index（BI）</t>
        </is>
      </c>
      <c r="AB153" s="3" t="inlineStr">
        <is>
          <t>MMSE, HDS-R</t>
        </is>
      </c>
      <c r="AD153" s="3" t="inlineStr">
        <is>
          <t>SPPB、Functional Reach Test（FRT）, 認知機能, ベッド周囲および病室環境, 握力測定</t>
        </is>
      </c>
      <c r="AF153" s="3" t="inlineStr">
        <is>
          <t>決まっていない</t>
        </is>
      </c>
      <c r="AH153" s="3" t="inlineStr">
        <is>
          <t>ベッド周囲及び病室環境の評価は術後３日目に実施するが、それ以外の項目は転院調整以降や退院日直前に実施している。</t>
        </is>
      </c>
      <c r="AI153" s="3" t="inlineStr">
        <is>
          <t>下肢筋力強化, バランス練習, 歩行練習, 歩容改善, 起立、着座動作練習, 環境調整, 補助具、装具の適正化, 認知面への介入, 行動面への介入, 教育、指導</t>
        </is>
      </c>
    </row>
    <row r="154" ht="22.5" customHeight="1">
      <c r="A154" s="32" t="n">
        <v>46099.4343918287</v>
      </c>
      <c r="B154" s="3" t="inlineStr">
        <is>
          <t>理学療法士</t>
        </is>
      </c>
      <c r="C154" s="3" t="inlineStr">
        <is>
          <t>国民健康保険富士吉田市立病院</t>
        </is>
      </c>
      <c r="D154" s="3" t="inlineStr">
        <is>
          <t>山梨県</t>
        </is>
      </c>
      <c r="E154" s="3" t="inlineStr">
        <is>
          <t>byoin@fymh.jp</t>
        </is>
      </c>
      <c r="F154" s="3" t="inlineStr">
        <is>
          <t>リハビリテーション科／理学療法士</t>
        </is>
      </c>
      <c r="G154" s="3" t="n">
        <v>99</v>
      </c>
      <c r="H154" s="3" t="n">
        <v>18</v>
      </c>
      <c r="I154" s="3" t="n">
        <v>2</v>
      </c>
      <c r="J154" s="3" t="inlineStr">
        <is>
          <t>届け出はしていないが、現在検討中である</t>
        </is>
      </c>
      <c r="K154" s="3" t="inlineStr">
        <is>
          <t>実施していない</t>
        </is>
      </c>
      <c r="L154" s="3" t="inlineStr">
        <is>
          <t>全症例の0％〜24％程度</t>
        </is>
      </c>
      <c r="N154" s="3" t="inlineStr">
        <is>
          <t>全症例の0％〜24％程度</t>
        </is>
      </c>
      <c r="P154" s="3" t="inlineStr">
        <is>
          <t>全症例の0％〜24％程度</t>
        </is>
      </c>
      <c r="R154" s="3" t="inlineStr">
        <is>
          <t>全症例の0％〜24％程度</t>
        </is>
      </c>
      <c r="T154" s="3" t="inlineStr">
        <is>
          <t>実施していない</t>
        </is>
      </c>
      <c r="U154" s="3" t="inlineStr">
        <is>
          <t>サルコペニアの評価をしていない</t>
        </is>
      </c>
      <c r="V154" s="3" t="inlineStr">
        <is>
          <t>実施していない</t>
        </is>
      </c>
      <c r="W154" s="3" t="inlineStr">
        <is>
          <t>フレイルの評価をしていない</t>
        </is>
      </c>
      <c r="X154" s="3" t="inlineStr">
        <is>
          <t>実施していない</t>
        </is>
      </c>
      <c r="Y154" s="3" t="inlineStr">
        <is>
          <t>ロコモの評価をしていない</t>
        </is>
      </c>
      <c r="Z154" s="3" t="inlineStr">
        <is>
          <t>Barthel Index（BI）, FIM</t>
        </is>
      </c>
      <c r="AB154" s="3" t="inlineStr">
        <is>
          <t>HDS-R</t>
        </is>
      </c>
      <c r="AD154" s="3" t="inlineStr">
        <is>
          <t>実施していない</t>
        </is>
      </c>
      <c r="AE154" s="3" t="inlineStr">
        <is>
          <t>活動を行っていない</t>
        </is>
      </c>
      <c r="AI154" s="3" t="inlineStr">
        <is>
          <t xml:space="preserve">下肢筋力強化, バランス練習, 歩行練習, 歩容改善, 起立、着座動作練習, 環境調整, 補助具、装具の適正化, 認知面への介入, 行動面への介入, 教育、指導, </t>
        </is>
      </c>
    </row>
    <row r="155" ht="22.5" customHeight="1">
      <c r="A155" s="32" t="n">
        <v>46099.46403549769</v>
      </c>
      <c r="B155" s="3" t="inlineStr">
        <is>
          <t>大野　一幸</t>
        </is>
      </c>
      <c r="C155" s="3" t="inlineStr">
        <is>
          <t>堺市立総合医療センター</t>
        </is>
      </c>
      <c r="D155" s="3" t="inlineStr">
        <is>
          <t>大阪府</t>
        </is>
      </c>
      <c r="E155" s="3" t="inlineStr">
        <is>
          <t>ikko@sakai-hospital.jp</t>
        </is>
      </c>
      <c r="G155" s="3" t="n">
        <v>123</v>
      </c>
      <c r="H155" s="3" t="n">
        <v>10</v>
      </c>
      <c r="I155" s="3" t="n">
        <v>5</v>
      </c>
      <c r="J155" s="3" t="inlineStr">
        <is>
          <t>現在、算定している</t>
        </is>
      </c>
      <c r="K155" s="3" t="inlineStr">
        <is>
          <t>関節可動域運動, 呼吸リハビリテーション, DVT予防, ポジショニング, 術後リハビリテーションのオリエンテーション</t>
        </is>
      </c>
      <c r="L155" s="3" t="inlineStr">
        <is>
          <t>全症例の0％〜24％程度</t>
        </is>
      </c>
      <c r="N155" s="3" t="inlineStr">
        <is>
          <t>全症例の0％〜24％程度</t>
        </is>
      </c>
      <c r="P155" s="3" t="inlineStr">
        <is>
          <t>全症例の0％〜24％程度</t>
        </is>
      </c>
      <c r="R155" s="3" t="inlineStr">
        <is>
          <t>全症例の0％〜24％程度</t>
        </is>
      </c>
      <c r="T155" s="3" t="inlineStr">
        <is>
          <t>握力, 膝伸展筋力, 歩行速度</t>
        </is>
      </c>
      <c r="V155" s="3" t="inlineStr">
        <is>
          <t>J-CHS基準</t>
        </is>
      </c>
      <c r="X155" s="3" t="inlineStr">
        <is>
          <t>立ち上がりテスト, ロコモ25（質問票）</t>
        </is>
      </c>
      <c r="Z155" s="3" t="inlineStr">
        <is>
          <t>Barthel Index（BI）, Katz Index, FIM</t>
        </is>
      </c>
      <c r="AB155" s="3" t="inlineStr">
        <is>
          <t>MMSE</t>
        </is>
      </c>
      <c r="AD155" s="3" t="inlineStr">
        <is>
          <t>せん妄, 過去の転倒歴, 薬剤（向精神薬、降圧薬、利尿薬、ポリファーマシーなど）, ベッド周囲および病室環境</t>
        </is>
      </c>
      <c r="AF155" s="3" t="inlineStr">
        <is>
          <t>決まっていない</t>
        </is>
      </c>
      <c r="AI155" s="3" t="inlineStr">
        <is>
          <t>下肢筋力強化, バランス練習, 歩行練習, 歩容改善, 教育、指導</t>
        </is>
      </c>
    </row>
    <row r="156" ht="22.5" customHeight="1">
      <c r="A156" s="32" t="n">
        <v>46099.52442976852</v>
      </c>
      <c r="B156" s="3" t="inlineStr">
        <is>
          <t>梅原　健人</t>
        </is>
      </c>
      <c r="C156" s="3" t="inlineStr">
        <is>
          <t>富士市立中央病院</t>
        </is>
      </c>
      <c r="D156" s="3" t="inlineStr">
        <is>
          <t>静岡県</t>
        </is>
      </c>
      <c r="E156" s="3" t="inlineStr">
        <is>
          <t>umehara.pt@gmail.com</t>
        </is>
      </c>
      <c r="F156" s="3" t="inlineStr">
        <is>
          <t>ﾘﾊﾋﾞﾘﾃｰｼｮﾝ科　上席理学療法士</t>
        </is>
      </c>
      <c r="G156" s="3" t="n">
        <v>226</v>
      </c>
      <c r="H156" s="3" t="n">
        <v>11</v>
      </c>
      <c r="I156" s="3" t="n">
        <v>0</v>
      </c>
      <c r="J156" s="3" t="inlineStr">
        <is>
          <t>届け出をしておらず、検討もしていない</t>
        </is>
      </c>
      <c r="K156" s="3" t="inlineStr">
        <is>
          <t>関節可動域運動, 筋力増強運動, DVT予防, ポジショニング, 自主運動指導, 術後リハビリテーションのオリエンテーション, 離床（例：車椅子移乗,立位,歩行など）</t>
        </is>
      </c>
      <c r="L156" s="3" t="inlineStr">
        <is>
          <t>全症例の75％〜100％程度</t>
        </is>
      </c>
      <c r="M156" s="3" t="inlineStr">
        <is>
          <t>手術翌日の整形外科回診にて基本全例実施しているため</t>
        </is>
      </c>
      <c r="N156" s="3" t="inlineStr">
        <is>
          <t>全症例の0％〜24％程度</t>
        </is>
      </c>
      <c r="P156" s="3" t="inlineStr">
        <is>
          <t>全症例の0％〜24％程度</t>
        </is>
      </c>
      <c r="R156" s="3" t="inlineStr">
        <is>
          <t>全症例の0％〜24％程度</t>
        </is>
      </c>
      <c r="T156" s="3" t="inlineStr">
        <is>
          <t>握力, 歩行速度, TUG</t>
        </is>
      </c>
      <c r="V156" s="3" t="inlineStr">
        <is>
          <t>TUG, 6分間歩行距離, 握力</t>
        </is>
      </c>
      <c r="X156" s="3" t="inlineStr">
        <is>
          <t>実施していない</t>
        </is>
      </c>
      <c r="Y156" s="3" t="inlineStr">
        <is>
          <t>院内で規定した内容の評価を実施しているため</t>
        </is>
      </c>
      <c r="Z156" s="3" t="inlineStr">
        <is>
          <t>FIM</t>
        </is>
      </c>
      <c r="AB156" s="3" t="inlineStr">
        <is>
          <t>MMSE, HDS-R</t>
        </is>
      </c>
      <c r="AD156" s="3" t="inlineStr">
        <is>
          <t>TUG, 10m歩行速度</t>
        </is>
      </c>
      <c r="AF156" s="3" t="inlineStr">
        <is>
          <t>決まっていない</t>
        </is>
      </c>
      <c r="AH156" s="3" t="inlineStr">
        <is>
          <t>疼痛や転院時期に応じて実施有無に個人差が大きいため</t>
        </is>
      </c>
      <c r="AI156" s="3" t="inlineStr">
        <is>
          <t>下肢筋力強化, バランス練習, 歩行練習, 歩容改善, 起立、着座動作練習, 補助具、装具の適正化</t>
        </is>
      </c>
    </row>
    <row r="157" ht="22.5" customHeight="1">
      <c r="A157" s="32" t="n">
        <v>46099.59330528935</v>
      </c>
      <c r="B157" s="3" t="inlineStr">
        <is>
          <t>山内 祐弥</t>
        </is>
      </c>
      <c r="C157" s="3" t="inlineStr">
        <is>
          <t>京都第二赤十字病院</t>
        </is>
      </c>
      <c r="D157" s="3" t="inlineStr">
        <is>
          <t>京都府</t>
        </is>
      </c>
      <c r="E157" s="3" t="inlineStr">
        <is>
          <t>ijika@kyoto2.jrc.or.jp</t>
        </is>
      </c>
      <c r="F157" s="3" t="inlineStr">
        <is>
          <t>リハビリテーション課　理学療法士</t>
        </is>
      </c>
      <c r="G157" s="3" t="n">
        <v>124</v>
      </c>
      <c r="H157" s="3" t="n">
        <v>13</v>
      </c>
      <c r="I157" s="3" t="n">
        <v>0</v>
      </c>
      <c r="J157" s="3" t="inlineStr">
        <is>
          <t>届け出をしておらず、検討もしていない</t>
        </is>
      </c>
      <c r="K157" s="3" t="inlineStr">
        <is>
          <t>関節可動域運動, 筋力増強運動, 呼吸リハビリテーション, DVT予防, リラクセーション, ポジショニング, 自主運動指導, 術後リハビリテーションのオリエンテーション</t>
        </is>
      </c>
      <c r="L157" s="3" t="inlineStr">
        <is>
          <t>全症例の0％〜24％程度</t>
        </is>
      </c>
      <c r="N157" s="3" t="inlineStr">
        <is>
          <t>全症例の0％〜24％程度</t>
        </is>
      </c>
      <c r="P157" s="3" t="inlineStr">
        <is>
          <t>全症例の0％〜24％程度</t>
        </is>
      </c>
      <c r="R157" s="3" t="inlineStr">
        <is>
          <t>全症例の0％〜24％程度</t>
        </is>
      </c>
      <c r="T157" s="3" t="inlineStr">
        <is>
          <t>実施していない</t>
        </is>
      </c>
      <c r="V157" s="3" t="inlineStr">
        <is>
          <t>実施していない</t>
        </is>
      </c>
      <c r="X157" s="3" t="inlineStr">
        <is>
          <t>実施していない</t>
        </is>
      </c>
      <c r="Z157" s="3" t="inlineStr">
        <is>
          <t>Barthel Index（BI）, FIM</t>
        </is>
      </c>
      <c r="AB157" s="3" t="inlineStr">
        <is>
          <t>HDS-R</t>
        </is>
      </c>
      <c r="AD157" s="3" t="inlineStr">
        <is>
          <t>認知機能, 転倒リスク評価表</t>
        </is>
      </c>
      <c r="AF157" s="3" t="inlineStr">
        <is>
          <t>決まっていない</t>
        </is>
      </c>
      <c r="AI157" s="3" t="inlineStr">
        <is>
          <t>下肢筋力強化, バランス練習, 歩行練習, 歩容改善, 起立、着座動作練習, 環境調整, 補助具、装具の適正化, 認知面への介入, 行動面への介入, 教育、指導</t>
        </is>
      </c>
    </row>
    <row r="158" ht="22.5" customHeight="1">
      <c r="A158" s="32" t="n">
        <v>46099.74082549768</v>
      </c>
      <c r="B158" s="3" t="inlineStr">
        <is>
          <t>山口祐基</t>
        </is>
      </c>
      <c r="C158" s="3" t="inlineStr">
        <is>
          <t>公立西知多総合病院</t>
        </is>
      </c>
      <c r="D158" s="3" t="inlineStr">
        <is>
          <t>愛知県</t>
        </is>
      </c>
      <c r="E158" s="3" t="inlineStr">
        <is>
          <t>yy_rexxam_anchor@docomo.ne.jp</t>
        </is>
      </c>
      <c r="F158" s="3" t="inlineStr">
        <is>
          <t>理学療法士1</t>
        </is>
      </c>
      <c r="G158" s="3" t="n">
        <v>248</v>
      </c>
      <c r="H158" s="3" t="n">
        <v>13</v>
      </c>
      <c r="I158" s="3" t="n">
        <v>0</v>
      </c>
      <c r="J158" s="3" t="inlineStr">
        <is>
          <t>届け出はしていないが、現在検討中である</t>
        </is>
      </c>
      <c r="K158" s="3" t="inlineStr">
        <is>
          <t>関節可動域運動, 筋力増強運動, 呼吸リハビリテーション, 離床（例：車椅子移乗,立位,歩行など）</t>
        </is>
      </c>
      <c r="L158" s="3" t="inlineStr">
        <is>
          <t>全症例の0％〜24％程度</t>
        </is>
      </c>
      <c r="N158" s="3" t="inlineStr">
        <is>
          <t>全症例の0％〜24％程度</t>
        </is>
      </c>
      <c r="P158" s="3" t="inlineStr">
        <is>
          <t>全症例の0％〜24％程度</t>
        </is>
      </c>
      <c r="R158" s="3" t="inlineStr">
        <is>
          <t>全症例の0％〜24％程度</t>
        </is>
      </c>
      <c r="T158" s="3" t="inlineStr">
        <is>
          <t>実施していない</t>
        </is>
      </c>
      <c r="U158" s="3" t="inlineStr">
        <is>
          <t>NSTとの関りがあまりなく統一した基準を設けていない</t>
        </is>
      </c>
      <c r="V158" s="3" t="inlineStr">
        <is>
          <t>実施していない</t>
        </is>
      </c>
      <c r="W158" s="3" t="inlineStr">
        <is>
          <t>実施する基準がない</t>
        </is>
      </c>
      <c r="X158" s="3" t="inlineStr">
        <is>
          <t>実施していない</t>
        </is>
      </c>
      <c r="Y158" s="3" t="inlineStr">
        <is>
          <t>実施する基準がない</t>
        </is>
      </c>
      <c r="Z158" s="3" t="inlineStr">
        <is>
          <t>Barthel Index（BI）, FIM</t>
        </is>
      </c>
      <c r="AB158" s="3" t="inlineStr">
        <is>
          <t>MMSE, HDS-R</t>
        </is>
      </c>
      <c r="AD158" s="3" t="inlineStr">
        <is>
          <t>実施していない</t>
        </is>
      </c>
      <c r="AE158" s="3" t="inlineStr">
        <is>
          <t>基準を設けていない</t>
        </is>
      </c>
      <c r="AI158" s="3" t="inlineStr">
        <is>
          <t>下肢筋力強化, バランス練習, 歩行練習, 起立、着座動作練習, 環境調整, 認知面への介入, 行動面への介入, 教育、指導</t>
        </is>
      </c>
    </row>
    <row r="159" ht="22.5" customHeight="1">
      <c r="A159" s="32" t="n">
        <v>46099.74609633101</v>
      </c>
      <c r="B159" s="3" t="inlineStr">
        <is>
          <t>畠中　聡</t>
        </is>
      </c>
      <c r="C159" s="3" t="inlineStr">
        <is>
          <t>仙台市立病院</t>
        </is>
      </c>
      <c r="D159" s="3" t="inlineStr">
        <is>
          <t>宮城県</t>
        </is>
      </c>
      <c r="E159" s="3" t="inlineStr">
        <is>
          <t>reha@hospital.city.sendai.jp</t>
        </is>
      </c>
      <c r="F159" s="3" t="inlineStr">
        <is>
          <t>リハビリテーション科　理学療法士</t>
        </is>
      </c>
      <c r="G159" s="3" t="n">
        <v>99</v>
      </c>
      <c r="H159" s="3" t="n">
        <v>9</v>
      </c>
      <c r="I159" s="3" t="n">
        <v>0</v>
      </c>
      <c r="J159" s="3" t="inlineStr">
        <is>
          <t>届け出をしておらず、検討もしていない</t>
        </is>
      </c>
      <c r="K159" s="3" t="inlineStr">
        <is>
          <t>関節可動域運動, 筋力増強運動, 呼吸リハビリテーション, DVT予防, リラクセーション, ポジショニング, 自主運動指導, 術後リハビリテーションのオリエンテーション, 離床（例：車椅子移乗,立位,歩行など）</t>
        </is>
      </c>
      <c r="L159" s="3" t="inlineStr">
        <is>
          <t>全症例の75％〜100％程度</t>
        </is>
      </c>
      <c r="M159" s="3" t="inlineStr">
        <is>
          <t>服薬による疼痛コントロール、環境調整など</t>
        </is>
      </c>
      <c r="N159" s="3" t="inlineStr">
        <is>
          <t>全症例の0％〜24％程度</t>
        </is>
      </c>
      <c r="P159" s="3" t="inlineStr">
        <is>
          <t>全症例の0％〜24％程度</t>
        </is>
      </c>
      <c r="R159" s="3" t="inlineStr">
        <is>
          <t>全症例の0％〜24％程度</t>
        </is>
      </c>
      <c r="T159" s="3" t="inlineStr">
        <is>
          <t>実施していない</t>
        </is>
      </c>
      <c r="U159" s="3" t="inlineStr">
        <is>
          <t>時間的余裕がないため。</t>
        </is>
      </c>
      <c r="V159" s="3" t="inlineStr">
        <is>
          <t>実施していない</t>
        </is>
      </c>
      <c r="W159" s="3" t="inlineStr">
        <is>
          <t>時間的余裕がないため</t>
        </is>
      </c>
      <c r="X159" s="3" t="inlineStr">
        <is>
          <t>実施していない</t>
        </is>
      </c>
      <c r="Y159" s="3" t="inlineStr">
        <is>
          <t>時間的余裕がないため</t>
        </is>
      </c>
      <c r="Z159" s="3" t="inlineStr">
        <is>
          <t>Barthel Index（BI）</t>
        </is>
      </c>
      <c r="AB159" s="3" t="inlineStr">
        <is>
          <t>実施していない</t>
        </is>
      </c>
      <c r="AC159" s="3" t="inlineStr">
        <is>
          <t>時間的余裕がないため</t>
        </is>
      </c>
      <c r="AD159" s="3" t="inlineStr">
        <is>
          <t>定量的な下肢筋力測定, 過去の転倒歴, 既往疾患の有無（脳血管疾患、パーキンソン病など）, 薬剤（向精神薬、降圧薬、利尿薬、ポリファーマシーなど）, ベッド周囲および病室環境</t>
        </is>
      </c>
      <c r="AF159" s="3" t="inlineStr">
        <is>
          <t>決まっていない</t>
        </is>
      </c>
      <c r="AI159" s="3" t="inlineStr">
        <is>
          <t>下肢筋力強化, バランス練習, 歩行練習, 歩容改善, 起立、着座動作練習, 環境調整, 補助具、装具の適正化, 認知面への介入, 行動面への介入, 薬剤調整, 教育、指導</t>
        </is>
      </c>
    </row>
    <row r="160" ht="22.5" customHeight="1">
      <c r="A160" s="32" t="n">
        <v>46099.75463350694</v>
      </c>
      <c r="B160" s="3" t="inlineStr">
        <is>
          <t>岩井ひかる</t>
        </is>
      </c>
      <c r="C160" s="3" t="inlineStr">
        <is>
          <t>新潟県立十日町病院</t>
        </is>
      </c>
      <c r="D160" s="3" t="inlineStr">
        <is>
          <t>新潟県</t>
        </is>
      </c>
      <c r="E160" s="3" t="inlineStr">
        <is>
          <t>reha@tokamachi-hosp-niigata.jp</t>
        </is>
      </c>
      <c r="F160" s="3" t="inlineStr">
        <is>
          <t>リハビリテーション科／理学療法士</t>
        </is>
      </c>
      <c r="G160" s="3" t="n">
        <v>89</v>
      </c>
      <c r="H160" s="3" t="n">
        <v>9</v>
      </c>
      <c r="I160" s="3" t="n">
        <v>6</v>
      </c>
      <c r="J160" s="3" t="inlineStr">
        <is>
          <t>届け出をしておらず、検討もしていない</t>
        </is>
      </c>
      <c r="K160" s="3" t="inlineStr">
        <is>
          <t>関節可動域運動, 筋力増強運動, リラクセーション, ポジショニング, 自主運動指導, 離床（例：車椅子移乗,立位,歩行など）, 基本的には術後介入の体制です、手術までの待機期間が長ければ主治医指示のもと術前より対応しています</t>
        </is>
      </c>
      <c r="L160" s="3" t="inlineStr">
        <is>
          <t>全症例の75％〜100％程度</t>
        </is>
      </c>
      <c r="M160" s="3" t="inlineStr">
        <is>
          <t>術後リハ介入のプロトコル体制の構築、病棟看護師との安静度共有での離床体制構築</t>
        </is>
      </c>
      <c r="N160" s="3" t="inlineStr">
        <is>
          <t>全症例の50％〜74％程度</t>
        </is>
      </c>
      <c r="O160" s="3" t="inlineStr">
        <is>
          <t>認知症ケアチームとの連携にて事前にスタッフでの情報共有を行っている</t>
        </is>
      </c>
      <c r="P160" s="3" t="inlineStr">
        <is>
          <t>全症例の75％〜100％程度</t>
        </is>
      </c>
      <c r="Q160" s="3" t="inlineStr">
        <is>
          <t>整形外科医判断にて内科医にコンサルタントを依頼</t>
        </is>
      </c>
      <c r="R160" s="3" t="inlineStr">
        <is>
          <t>全症例の75％〜100％程度</t>
        </is>
      </c>
      <c r="S160" s="3" t="inlineStr">
        <is>
          <t>リハ、病棟スタッフと状態や環境調整の共有</t>
        </is>
      </c>
      <c r="T160" s="3" t="inlineStr">
        <is>
          <t>膝伸展筋力, 下腿周径</t>
        </is>
      </c>
      <c r="V160" s="3" t="inlineStr">
        <is>
          <t>実施していない</t>
        </is>
      </c>
      <c r="X160" s="3" t="inlineStr">
        <is>
          <t>実施していない</t>
        </is>
      </c>
      <c r="Y160" s="3" t="inlineStr">
        <is>
          <t>特に基準を設定していない</t>
        </is>
      </c>
      <c r="Z160" s="3" t="inlineStr">
        <is>
          <t>FIM</t>
        </is>
      </c>
      <c r="AB160" s="3" t="inlineStr">
        <is>
          <t>MMSE</t>
        </is>
      </c>
      <c r="AD160" s="3" t="inlineStr">
        <is>
          <t>認知機能, 注意障害, 遂行機能, せん妄, ベッド周囲および病室環境</t>
        </is>
      </c>
      <c r="AF160" s="3" t="inlineStr">
        <is>
          <t>決まっている</t>
        </is>
      </c>
      <c r="AG160" s="3" t="inlineStr">
        <is>
          <t>MMSEを術後7日目に評価</t>
        </is>
      </c>
      <c r="AI160" s="3" t="inlineStr">
        <is>
          <t>下肢筋力強化, バランス練習, 歩行練習, 歩容改善, 起立、着座動作練習, 環境調整, 補助具、装具の適正化, 認知面への介入, 行動面への介入, 教育、指導, 病棟との情報共有</t>
        </is>
      </c>
    </row>
    <row r="161" ht="22.5" customHeight="1">
      <c r="A161" s="32" t="n">
        <v>46099.77008065972</v>
      </c>
      <c r="B161" s="3" t="inlineStr">
        <is>
          <t>R H</t>
        </is>
      </c>
      <c r="C161" s="3" t="inlineStr">
        <is>
          <t>青森県立中央病院</t>
        </is>
      </c>
      <c r="D161" s="3" t="inlineStr">
        <is>
          <t>青森県</t>
        </is>
      </c>
      <c r="E161" s="3" t="inlineStr">
        <is>
          <t>ryox22tgrsnp@gmail.com</t>
        </is>
      </c>
      <c r="G161" s="3" t="n">
        <v>143</v>
      </c>
      <c r="H161" s="3" t="n">
        <v>7</v>
      </c>
      <c r="I161" s="3" t="n">
        <v>0</v>
      </c>
      <c r="J161" s="3" t="inlineStr">
        <is>
          <t>届け出をしておらず、検討もしていない</t>
        </is>
      </c>
      <c r="K161" s="3" t="inlineStr">
        <is>
          <t>実施していない</t>
        </is>
      </c>
      <c r="L161" s="3" t="inlineStr">
        <is>
          <t>全症例の0％〜24％程度</t>
        </is>
      </c>
      <c r="N161" s="3" t="inlineStr">
        <is>
          <t>全症例の0％〜24％程度</t>
        </is>
      </c>
      <c r="P161" s="3" t="inlineStr">
        <is>
          <t>全症例の0％〜24％程度</t>
        </is>
      </c>
      <c r="R161" s="3" t="inlineStr">
        <is>
          <t>全症例の0％〜24％程度</t>
        </is>
      </c>
      <c r="T161" s="3" t="inlineStr">
        <is>
          <t>握力, 膝伸展筋力, 5回椅子立ち上がりテスト, 歩行速度, TUG, 開眼片脚立位時間, 下腿周径</t>
        </is>
      </c>
      <c r="V161" s="3" t="inlineStr">
        <is>
          <t>TUG, 認知機能, 握力</t>
        </is>
      </c>
      <c r="X161" s="3" t="inlineStr">
        <is>
          <t>実施していない</t>
        </is>
      </c>
      <c r="Y161" s="3" t="inlineStr">
        <is>
          <t>優先度の高い評価を実施しているため、ロコモ評価にまでは手がまわらない</t>
        </is>
      </c>
      <c r="Z161" s="3" t="inlineStr">
        <is>
          <t>Barthel Index（BI）, FIM</t>
        </is>
      </c>
      <c r="AB161" s="3" t="inlineStr">
        <is>
          <t>HDS-R</t>
        </is>
      </c>
      <c r="AD161" s="3" t="inlineStr">
        <is>
          <t>開眼片脚立位時間, TUG, 10m歩行速度, 5回椅子立ち上がりテスト, 認知機能, 過去の転倒歴, 既往疾患の有無（脳血管疾患、パーキンソン病など）</t>
        </is>
      </c>
      <c r="AF161" s="3" t="inlineStr">
        <is>
          <t>決まっている</t>
        </is>
      </c>
      <c r="AG161" s="3" t="inlineStr">
        <is>
          <t>項目によって違うが、
初回と、最終で評価</t>
        </is>
      </c>
      <c r="AI161" s="3" t="inlineStr">
        <is>
          <t>下肢筋力強化, バランス練習, 歩行練習, 歩容改善, 起立、着座動作練習, 環境調整, 補助具、装具の適正化, 行動面への介入, 教育、指導</t>
        </is>
      </c>
    </row>
    <row r="162" ht="22.5" customHeight="1">
      <c r="A162" s="32" t="n">
        <v>46099.79272739583</v>
      </c>
      <c r="B162" s="3" t="inlineStr">
        <is>
          <t>信太　春人</t>
        </is>
      </c>
      <c r="C162" s="3" t="inlineStr">
        <is>
          <t>独立行政法人　国立病院機構　弘前総合医療センター</t>
        </is>
      </c>
      <c r="D162" s="3" t="inlineStr">
        <is>
          <t>青森県</t>
        </is>
      </c>
      <c r="E162" s="3" t="inlineStr">
        <is>
          <t>yagihashi.seiko.cz@mail.hosp.go.jp</t>
        </is>
      </c>
      <c r="F162" s="3" t="inlineStr">
        <is>
          <t>リハビリテーション科/理学療法士</t>
        </is>
      </c>
      <c r="G162" s="3" t="n">
        <v>253</v>
      </c>
      <c r="H162" s="3" t="n">
        <v>12</v>
      </c>
      <c r="I162" s="3" t="n">
        <v>4</v>
      </c>
      <c r="J162" s="3" t="inlineStr">
        <is>
          <t>届け出はしていないが、現在検討中である</t>
        </is>
      </c>
      <c r="K162" s="3" t="inlineStr">
        <is>
          <t>関節可動域運動, 筋力増強運動, DVT予防, 自主運動指導, 術後リハビリテーションのオリエンテーション, 離床（例：車椅子移乗,立位,歩行など）</t>
        </is>
      </c>
      <c r="L162" s="3" t="inlineStr">
        <is>
          <t>全症例の25％〜49％程度</t>
        </is>
      </c>
      <c r="N162" s="3" t="inlineStr">
        <is>
          <t>全症例の0％〜24％程度</t>
        </is>
      </c>
      <c r="P162" s="3" t="inlineStr">
        <is>
          <t>全症例の0％〜24％程度</t>
        </is>
      </c>
      <c r="R162" s="3" t="inlineStr">
        <is>
          <t>全症例の0％〜24％程度</t>
        </is>
      </c>
      <c r="T162" s="3" t="inlineStr">
        <is>
          <t>膝伸展筋力, SPPB</t>
        </is>
      </c>
      <c r="V162" s="3" t="inlineStr">
        <is>
          <t>認知機能</t>
        </is>
      </c>
      <c r="X162" s="3" t="inlineStr">
        <is>
          <t>実施していない</t>
        </is>
      </c>
      <c r="Y162" s="3" t="inlineStr">
        <is>
          <t>SPPBで立ち上がり動作の評価を行っているため。</t>
        </is>
      </c>
      <c r="Z162" s="3" t="inlineStr">
        <is>
          <t>Barthel Index（BI）, FIM</t>
        </is>
      </c>
      <c r="AB162" s="3" t="inlineStr">
        <is>
          <t>MMSE, HDS-R</t>
        </is>
      </c>
      <c r="AD162" s="3" t="inlineStr">
        <is>
          <t>定量的な下肢筋力測定, SPPB、Functional Reach Test（FRT）</t>
        </is>
      </c>
      <c r="AF162" s="3" t="inlineStr">
        <is>
          <t>決まっていない</t>
        </is>
      </c>
      <c r="AH162" s="3" t="inlineStr">
        <is>
          <t>実施時期に関してはセラピストに一任されているため。</t>
        </is>
      </c>
      <c r="AI162" s="3" t="inlineStr">
        <is>
          <t>下肢筋力強化, バランス練習, 歩行練習, 歩容改善, 起立、着座動作練習, 環境調整, 補助具、装具の適正化, 認知面への介入, 教育、指導</t>
        </is>
      </c>
    </row>
    <row r="163" ht="22.5" customHeight="1">
      <c r="A163" s="32" t="n">
        <v>46099.80600671296</v>
      </c>
      <c r="B163" s="3" t="inlineStr">
        <is>
          <t>倉元　友梨</t>
        </is>
      </c>
      <c r="C163" s="3" t="inlineStr">
        <is>
          <t>岡山済生会総合病院</t>
        </is>
      </c>
      <c r="D163" s="3" t="inlineStr">
        <is>
          <t>岡山県</t>
        </is>
      </c>
      <c r="E163" s="3" t="inlineStr">
        <is>
          <t>ribe.lily0128@gmail.com</t>
        </is>
      </c>
      <c r="F163" s="3" t="inlineStr">
        <is>
          <t>リハビリテーション科/理学療法士</t>
        </is>
      </c>
      <c r="G163" s="3" t="n">
        <v>242</v>
      </c>
      <c r="H163" s="3" t="n">
        <v>8</v>
      </c>
      <c r="I163" s="3" t="n">
        <v>2</v>
      </c>
      <c r="J163" s="3" t="inlineStr">
        <is>
          <t>届け出はしていないが、現在検討中である</t>
        </is>
      </c>
      <c r="K163" s="3" t="inlineStr">
        <is>
          <t>実施していない</t>
        </is>
      </c>
      <c r="L163" s="3" t="inlineStr">
        <is>
          <t>全症例の75％〜100％程度</t>
        </is>
      </c>
      <c r="M163" s="3" t="inlineStr">
        <is>
          <t>鎮痛剤の調整、リハビリテーション介入</t>
        </is>
      </c>
      <c r="N163" s="3" t="inlineStr">
        <is>
          <t>全症例の25％〜49％程度</t>
        </is>
      </c>
      <c r="P163" s="3" t="inlineStr">
        <is>
          <t>全症例の25％〜49％程度</t>
        </is>
      </c>
      <c r="R163" s="3" t="inlineStr">
        <is>
          <t>全症例の0％〜24％程度</t>
        </is>
      </c>
      <c r="T163" s="3" t="inlineStr">
        <is>
          <t>握力, 膝伸展筋力, 下腿周径</t>
        </is>
      </c>
      <c r="V163" s="3" t="inlineStr">
        <is>
          <t>認知機能, 握力</t>
        </is>
      </c>
      <c r="X163" s="3" t="inlineStr">
        <is>
          <t>実施していない</t>
        </is>
      </c>
      <c r="Y163" s="3" t="inlineStr">
        <is>
          <t>急性期にロコモテストを行っても一時的な機能低下を反映したものになると考えられるため</t>
        </is>
      </c>
      <c r="Z163" s="3" t="inlineStr">
        <is>
          <t>Barthel Index（BI）</t>
        </is>
      </c>
      <c r="AB163" s="3" t="inlineStr">
        <is>
          <t>MMSE, HDS-R</t>
        </is>
      </c>
      <c r="AD163" s="3" t="inlineStr">
        <is>
          <t>定量的な下肢筋力測定, 認知機能</t>
        </is>
      </c>
      <c r="AF163" s="3" t="inlineStr">
        <is>
          <t>決まっていない</t>
        </is>
      </c>
      <c r="AH163" s="3" t="inlineStr">
        <is>
          <t>認知機能に関してはせん妄中に検査しても正確な結果が出ないため、症例によってタイミングが異なる。筋力に関しては日々の変化を評価しているため特定の検査日は決まっていない。</t>
        </is>
      </c>
      <c r="AI163" s="3" t="inlineStr">
        <is>
          <t>下肢筋力強化, バランス練習, 歩行練習, 歩容改善, 起立、着座動作練習, 環境調整, 補助具、装具の適正化, 教育、指導</t>
        </is>
      </c>
    </row>
    <row r="164" ht="22.5" customHeight="1">
      <c r="A164" s="32" t="n">
        <v>46099.81986549769</v>
      </c>
      <c r="B164" s="3" t="inlineStr">
        <is>
          <t>明田幸大</t>
        </is>
      </c>
      <c r="C164" s="3" t="inlineStr">
        <is>
          <t>地方独立行政法人 三重県立総合医療センター</t>
        </is>
      </c>
      <c r="D164" s="3" t="inlineStr">
        <is>
          <t>三重県</t>
        </is>
      </c>
      <c r="E164" s="3" t="inlineStr">
        <is>
          <t>yakyu.053106@gmail.com</t>
        </is>
      </c>
      <c r="F164" s="3" t="inlineStr">
        <is>
          <t>リハビリテーション室/理学療法士</t>
        </is>
      </c>
      <c r="G164" s="3" t="n">
        <v>140</v>
      </c>
      <c r="H164" s="3" t="n">
        <v>8</v>
      </c>
      <c r="I164" s="3" t="n">
        <v>0</v>
      </c>
      <c r="J164" s="3" t="inlineStr">
        <is>
          <t>届け出をしておらず、検討もしていない</t>
        </is>
      </c>
      <c r="K164" s="3" t="inlineStr">
        <is>
          <t>実施していない</t>
        </is>
      </c>
      <c r="L164" s="3" t="inlineStr">
        <is>
          <t>全症例の25％〜49％程度</t>
        </is>
      </c>
      <c r="N164" s="3" t="inlineStr">
        <is>
          <t>全症例の25％〜49％程度</t>
        </is>
      </c>
      <c r="P164" s="3" t="inlineStr">
        <is>
          <t>全症例の0％〜24％程度</t>
        </is>
      </c>
      <c r="R164" s="3" t="inlineStr">
        <is>
          <t>全症例の0％〜24％程度</t>
        </is>
      </c>
      <c r="T164" s="3" t="inlineStr">
        <is>
          <t>実施していない</t>
        </is>
      </c>
      <c r="U164" s="3" t="inlineStr">
        <is>
          <t>「サルコペニアの評価」として行なっているわけではないため</t>
        </is>
      </c>
      <c r="V164" s="3" t="inlineStr">
        <is>
          <t>実施していない</t>
        </is>
      </c>
      <c r="W164" s="3" t="inlineStr">
        <is>
          <t>「フレイルの評価」として行なっているわけではないため</t>
        </is>
      </c>
      <c r="X164" s="3" t="inlineStr">
        <is>
          <t>実施していない</t>
        </is>
      </c>
      <c r="Y164" s="3" t="inlineStr">
        <is>
          <t>業務過多のため</t>
        </is>
      </c>
      <c r="Z164" s="3" t="inlineStr">
        <is>
          <t>実施していない</t>
        </is>
      </c>
      <c r="AA164" s="3" t="inlineStr">
        <is>
          <t>看護師がFIMを評価してくれるため</t>
        </is>
      </c>
      <c r="AB164" s="3" t="inlineStr">
        <is>
          <t>実施していない</t>
        </is>
      </c>
      <c r="AC164" s="3" t="inlineStr">
        <is>
          <t>看護師がAMTSを評価してくれるため</t>
        </is>
      </c>
      <c r="AD164" s="3" t="inlineStr">
        <is>
          <t>TUG, 10m歩行速度, 握力、SPPB</t>
        </is>
      </c>
      <c r="AF164" s="3" t="inlineStr">
        <is>
          <t>決まっている</t>
        </is>
      </c>
      <c r="AG164" s="3" t="inlineStr">
        <is>
          <t>術後7日±1日、術後30日、術後120日、術後365日</t>
        </is>
      </c>
      <c r="AI164" s="3" t="inlineStr">
        <is>
          <t>下肢筋力強化, バランス練習, 歩行練習, 歩容改善, 起立、着座動作練習, 教育、指導</t>
        </is>
      </c>
    </row>
    <row r="165" ht="22.5" customHeight="1">
      <c r="A165" s="32" t="n">
        <v>46099.83178582176</v>
      </c>
      <c r="B165" s="3" t="inlineStr">
        <is>
          <t>中本裕美</t>
        </is>
      </c>
      <c r="C165" s="3" t="inlineStr">
        <is>
          <t>独立行政法人国立病院機構浜田医療センター</t>
        </is>
      </c>
      <c r="D165" s="3" t="inlineStr">
        <is>
          <t>島根県</t>
        </is>
      </c>
      <c r="E165" s="3" t="inlineStr">
        <is>
          <t>nakamoto.hiromi.tj@mail.hosp.go.jp</t>
        </is>
      </c>
      <c r="F165" s="3" t="inlineStr">
        <is>
          <t>リハビリテーション科作業療法主任</t>
        </is>
      </c>
      <c r="G165" s="3" t="n">
        <v>163</v>
      </c>
      <c r="H165" s="3" t="n">
        <v>13</v>
      </c>
      <c r="I165" s="3" t="n">
        <v>8</v>
      </c>
      <c r="J165" s="3" t="inlineStr">
        <is>
          <t>届け出をしておらず、検討もしていない</t>
        </is>
      </c>
      <c r="K165" s="3" t="inlineStr">
        <is>
          <t>実施していない, 術前待機が無いので術前リハの処方が無い</t>
        </is>
      </c>
      <c r="L165" s="3" t="inlineStr">
        <is>
          <t>全症例の0％〜24％程度</t>
        </is>
      </c>
      <c r="N165" s="3" t="inlineStr">
        <is>
          <t>全症例の0％〜24％程度</t>
        </is>
      </c>
      <c r="P165" s="3" t="inlineStr">
        <is>
          <t>全症例の0％〜24％程度</t>
        </is>
      </c>
      <c r="R165" s="3" t="inlineStr">
        <is>
          <t>全症例の0％〜24％程度</t>
        </is>
      </c>
      <c r="T165" s="3" t="inlineStr">
        <is>
          <t>握力, 膝伸展筋力, MMT</t>
        </is>
      </c>
      <c r="V165" s="3" t="inlineStr">
        <is>
          <t>握力, MMT</t>
        </is>
      </c>
      <c r="X165" s="3" t="inlineStr">
        <is>
          <t>ROMtest、MMT</t>
        </is>
      </c>
      <c r="Z165" s="3" t="inlineStr">
        <is>
          <t>Barthel Index（BI）</t>
        </is>
      </c>
      <c r="AB165" s="3" t="inlineStr">
        <is>
          <t>MMSE, HDS-R, AMTS</t>
        </is>
      </c>
      <c r="AD165" s="3" t="inlineStr">
        <is>
          <t>SPPB、Functional Reach Test（FRT）, 認知機能</t>
        </is>
      </c>
      <c r="AF165" s="3" t="inlineStr">
        <is>
          <t>決まっていない</t>
        </is>
      </c>
      <c r="AH165" s="3" t="inlineStr">
        <is>
          <t>患者の病状やセラピストの勤務状況によって決めるため。退院前に測定することは決まっている。</t>
        </is>
      </c>
      <c r="AI165" s="3" t="inlineStr">
        <is>
          <t xml:space="preserve">下肢筋力強化, バランス練習, 歩行練習, 歩容改善, 起立、着座動作練習, 環境調整, 補助具、装具の適正化, 認知面への介入, 行動面への介入, 教育、指導, </t>
        </is>
      </c>
      <c r="AJ165" s="3" t="inlineStr">
        <is>
          <t>自由記述は、各項目だけでなくアンケート自体にあると、意見や質問が寄せられてよいと思います。このアンケートの結果はどこで公表されますでしょうか？</t>
        </is>
      </c>
    </row>
    <row r="166" ht="22.5" customHeight="1">
      <c r="A166" s="32" t="n">
        <v>46100.35288716435</v>
      </c>
      <c r="B166" s="3" t="inlineStr">
        <is>
          <t>事務局経営企画課</t>
        </is>
      </c>
      <c r="C166" s="3" t="inlineStr">
        <is>
          <t>大津赤十字病院</t>
        </is>
      </c>
      <c r="D166" s="3" t="inlineStr">
        <is>
          <t>滋賀県</t>
        </is>
      </c>
      <c r="E166" s="3" t="inlineStr">
        <is>
          <t>kikaku2@otsu.jrc.or.jp</t>
        </is>
      </c>
      <c r="F166" s="3" t="inlineStr">
        <is>
          <t>リハビリテーション科／理学療法士</t>
        </is>
      </c>
      <c r="G166" s="3" t="n">
        <v>218</v>
      </c>
      <c r="H166" s="3" t="n">
        <v>20</v>
      </c>
      <c r="I166" s="3" t="n">
        <v>1</v>
      </c>
      <c r="J166" s="3" t="inlineStr">
        <is>
          <t>届け出をしておらず、検討もしていない</t>
        </is>
      </c>
      <c r="K166" s="3" t="inlineStr">
        <is>
          <t>実施していない</t>
        </is>
      </c>
      <c r="L166" s="3" t="inlineStr">
        <is>
          <t>全症例の0％〜24％程度</t>
        </is>
      </c>
      <c r="N166" s="3" t="inlineStr">
        <is>
          <t>全症例の0％〜24％程度</t>
        </is>
      </c>
      <c r="P166" s="3" t="inlineStr">
        <is>
          <t>全症例の0％〜24％程度</t>
        </is>
      </c>
      <c r="R166" s="3" t="inlineStr">
        <is>
          <t>全症例の0％〜24％程度</t>
        </is>
      </c>
      <c r="T166" s="3" t="inlineStr">
        <is>
          <t>膝伸展筋力, TUG</t>
        </is>
      </c>
      <c r="V166" s="3" t="inlineStr">
        <is>
          <t>TUG</t>
        </is>
      </c>
      <c r="X166" s="3" t="inlineStr">
        <is>
          <t>実施していない</t>
        </is>
      </c>
      <c r="Z166" s="3" t="inlineStr">
        <is>
          <t>Barthel Index（BI）</t>
        </is>
      </c>
      <c r="AB166" s="3" t="inlineStr">
        <is>
          <t>MMSE</t>
        </is>
      </c>
      <c r="AD166" s="3" t="inlineStr">
        <is>
          <t>実施していない</t>
        </is>
      </c>
      <c r="AI166" s="3" t="inlineStr">
        <is>
          <t>下肢筋力強化, バランス練習, 歩行練習, 歩容改善, 起立、着座動作練習, 環境調整, 補助具、装具の適正化, 認知面への介入, 行動面への介入, 教育、指導</t>
        </is>
      </c>
    </row>
    <row r="167" ht="22.5" customHeight="1">
      <c r="A167" s="32" t="n">
        <v>46100.36414077546</v>
      </c>
      <c r="B167" s="3" t="inlineStr">
        <is>
          <t>大和　慎祐</t>
        </is>
      </c>
      <c r="C167" s="3" t="inlineStr">
        <is>
          <t>社会医療法人母恋　日鋼記念病院</t>
        </is>
      </c>
      <c r="D167" s="3" t="inlineStr">
        <is>
          <t>北海道</t>
        </is>
      </c>
      <c r="E167" s="3" t="inlineStr">
        <is>
          <t>shinsuke.yamato@nikko-kinen.or.jp</t>
        </is>
      </c>
      <c r="F167" s="3" t="inlineStr">
        <is>
          <t>リハビリテーションセンター/理学療法士</t>
        </is>
      </c>
      <c r="G167" s="3" t="n">
        <v>54</v>
      </c>
      <c r="H167" s="3" t="n">
        <v>3</v>
      </c>
      <c r="I167" s="3" t="n">
        <v>2</v>
      </c>
      <c r="J167" s="3" t="inlineStr">
        <is>
          <t>届け出をしておらず、検討もしていない</t>
        </is>
      </c>
      <c r="K167" s="3" t="inlineStr">
        <is>
          <t>実施していない</t>
        </is>
      </c>
      <c r="L167" s="3" t="inlineStr">
        <is>
          <t>全症例の0％〜24％程度</t>
        </is>
      </c>
      <c r="N167" s="3" t="inlineStr">
        <is>
          <t>全症例の25％〜49％程度</t>
        </is>
      </c>
      <c r="P167" s="3" t="inlineStr">
        <is>
          <t>全症例の0％〜24％程度</t>
        </is>
      </c>
      <c r="R167" s="3" t="inlineStr">
        <is>
          <t>全症例の0％〜24％程度</t>
        </is>
      </c>
      <c r="T167" s="3" t="inlineStr">
        <is>
          <t>握力, 下腿周径</t>
        </is>
      </c>
      <c r="V167" s="3" t="inlineStr">
        <is>
          <t>認知機能, 握力</t>
        </is>
      </c>
      <c r="X167" s="3" t="inlineStr">
        <is>
          <t>立ち上がりテスト, 2ステップテスト</t>
        </is>
      </c>
      <c r="Z167" s="3" t="inlineStr">
        <is>
          <t>FIM</t>
        </is>
      </c>
      <c r="AB167" s="3" t="inlineStr">
        <is>
          <t>MMSE, HDS-R</t>
        </is>
      </c>
      <c r="AD167" s="3" t="inlineStr">
        <is>
          <t>実施していない</t>
        </is>
      </c>
      <c r="AE167" s="3" t="inlineStr">
        <is>
          <t>現状は個々のセラピストが評価を行っており、定められた評価は行っていない。</t>
        </is>
      </c>
      <c r="AH167" s="3" t="inlineStr">
        <is>
          <t>術後１週以内に実施するようにしているがせん妄など実施できない理由もあるため特に期間は定めていない</t>
        </is>
      </c>
      <c r="AI167" s="3" t="inlineStr">
        <is>
          <t>下肢筋力強化, バランス練習, 歩行練習, 起立、着座動作練習, 環境調整, 補助具、装具の適正化, 認知面への介入, 教育、指導</t>
        </is>
      </c>
    </row>
    <row r="168" ht="22.5" customHeight="1">
      <c r="A168" s="32" t="n">
        <v>46100.38195299768</v>
      </c>
      <c r="B168" s="3" t="inlineStr">
        <is>
          <t>宝本　圭二</t>
        </is>
      </c>
      <c r="C168" s="3" t="inlineStr">
        <is>
          <t>医療法人協和会　協和会病院</t>
        </is>
      </c>
      <c r="D168" s="3" t="inlineStr">
        <is>
          <t>大阪府</t>
        </is>
      </c>
      <c r="E168" s="3" t="inlineStr">
        <is>
          <t>k-t1005@nike.eonet.ne.jp</t>
        </is>
      </c>
      <c r="F168" s="3" t="inlineStr">
        <is>
          <t>理学療法科/理学療法士</t>
        </is>
      </c>
      <c r="G168" s="3" t="n">
        <v>73</v>
      </c>
      <c r="H168" s="3" t="n">
        <v>6</v>
      </c>
      <c r="I168" s="3" t="n">
        <v>2</v>
      </c>
      <c r="J168" s="3" t="inlineStr">
        <is>
          <t>届け出をしておらず、検討もしていない</t>
        </is>
      </c>
      <c r="K168" s="3" t="inlineStr">
        <is>
          <t>実施していない</t>
        </is>
      </c>
      <c r="L168" s="3" t="inlineStr">
        <is>
          <t>全症例の0％〜24％程度</t>
        </is>
      </c>
      <c r="N168" s="3" t="inlineStr">
        <is>
          <t>全症例の0％〜24％程度</t>
        </is>
      </c>
      <c r="P168" s="3" t="inlineStr">
        <is>
          <t>全症例の0％〜24％程度</t>
        </is>
      </c>
      <c r="R168" s="3" t="inlineStr">
        <is>
          <t>全症例の0％〜24％程度</t>
        </is>
      </c>
      <c r="T168" s="3" t="inlineStr">
        <is>
          <t>実施していない</t>
        </is>
      </c>
      <c r="U168" s="3" t="inlineStr">
        <is>
          <t>看護師が実施しているため</t>
        </is>
      </c>
      <c r="V168" s="3" t="inlineStr">
        <is>
          <t>実施していない</t>
        </is>
      </c>
      <c r="W168" s="3" t="inlineStr">
        <is>
          <t>特に検討したことがないため</t>
        </is>
      </c>
      <c r="X168" s="3" t="inlineStr">
        <is>
          <t>実施していない</t>
        </is>
      </c>
      <c r="Y168" s="3" t="inlineStr">
        <is>
          <t>特に検討したことがないため</t>
        </is>
      </c>
      <c r="Z168" s="3" t="inlineStr">
        <is>
          <t>Barthel Index（BI）, FIM</t>
        </is>
      </c>
      <c r="AB168" s="3" t="inlineStr">
        <is>
          <t>MMSE, HDS-R</t>
        </is>
      </c>
      <c r="AD168" s="3" t="inlineStr">
        <is>
          <t>開眼片脚立位時間, 認知機能, 過去の転倒歴, 薬剤（向精神薬、降圧薬、利尿薬、ポリファーマシーなど）</t>
        </is>
      </c>
      <c r="AF168" s="3" t="inlineStr">
        <is>
          <t>決まっていない</t>
        </is>
      </c>
      <c r="AH168" s="3" t="inlineStr">
        <is>
          <t>転倒リスクがある方に、適宜実施しているため</t>
        </is>
      </c>
      <c r="AI168" s="3" t="inlineStr">
        <is>
          <t>下肢筋力強化, バランス練習, 歩行練習, 歩容改善, 起立、着座動作練習, 環境調整, 補助具、装具の適正化, 認知面への介入, 行動面への介入, 教育、指導</t>
        </is>
      </c>
    </row>
    <row r="169" ht="22.5" customHeight="1">
      <c r="A169" s="32" t="n">
        <v>46100.39145715278</v>
      </c>
      <c r="B169" s="3" t="inlineStr">
        <is>
          <t>森　章夫</t>
        </is>
      </c>
      <c r="C169" s="3" t="inlineStr">
        <is>
          <t>矢木脳神経外科病院</t>
        </is>
      </c>
      <c r="D169" s="3" t="inlineStr">
        <is>
          <t>大阪府</t>
        </is>
      </c>
      <c r="E169" s="3" t="inlineStr">
        <is>
          <t>k-nakaji@kouzenkai.or.jp</t>
        </is>
      </c>
      <c r="G169" s="3" t="n">
        <v>112</v>
      </c>
      <c r="H169" s="3" t="n">
        <v>12</v>
      </c>
      <c r="I169" s="3" t="n">
        <v>4</v>
      </c>
      <c r="J169" s="3" t="inlineStr">
        <is>
          <t>現在、算定している</t>
        </is>
      </c>
      <c r="K169" s="3" t="inlineStr">
        <is>
          <t>筋力増強運動, DVT予防, ポジショニング, 自主運動指導, 術後リハビリテーションのオリエンテーション</t>
        </is>
      </c>
      <c r="L169" s="3" t="inlineStr">
        <is>
          <t>全症例の25％〜49％程度</t>
        </is>
      </c>
      <c r="N169" s="3" t="inlineStr">
        <is>
          <t>全症例の25％〜49％程度</t>
        </is>
      </c>
      <c r="P169" s="3" t="inlineStr">
        <is>
          <t>全症例の0％〜24％程度</t>
        </is>
      </c>
      <c r="R169" s="3" t="inlineStr">
        <is>
          <t>全症例の0％〜24％程度</t>
        </is>
      </c>
      <c r="T169" s="3" t="inlineStr">
        <is>
          <t>握力, 膝伸展筋力, 歩行速度, TUG, 下腿周径, MNA-SF</t>
        </is>
      </c>
      <c r="V169" s="3" t="inlineStr">
        <is>
          <t>TUG, 認知機能, MNA-SF, 握力</t>
        </is>
      </c>
      <c r="X169" s="3" t="inlineStr">
        <is>
          <t>立ち上がりテスト</t>
        </is>
      </c>
      <c r="Z169" s="3" t="inlineStr">
        <is>
          <t>Barthel Index（BI）, FIM</t>
        </is>
      </c>
      <c r="AB169" s="3" t="inlineStr">
        <is>
          <t>MMSE, HDS-R</t>
        </is>
      </c>
      <c r="AD169" s="3" t="inlineStr">
        <is>
          <t>TUG, 10m歩行速度, 認知機能, 過去の転倒歴, ベッド周囲および病室環境</t>
        </is>
      </c>
      <c r="AF169" s="3" t="inlineStr">
        <is>
          <t>決まっていない</t>
        </is>
      </c>
      <c r="AH169" s="3" t="inlineStr">
        <is>
          <t>症例ごとに術後の状況、安静度、元々のADL等が違うため一律の評価は決められない</t>
        </is>
      </c>
      <c r="AI169" s="3" t="inlineStr">
        <is>
          <t>下肢筋力強化, バランス練習, 歩行練習, 起立、着座動作練習, 環境調整, 認知面への介入, 教育、指導</t>
        </is>
      </c>
    </row>
    <row r="170" ht="22.5" customHeight="1">
      <c r="A170" s="32" t="n">
        <v>46100.40917880787</v>
      </c>
      <c r="B170" s="3" t="inlineStr">
        <is>
          <t>松田英樹</t>
        </is>
      </c>
      <c r="C170" s="3" t="inlineStr">
        <is>
          <t>京都岡本記念病院</t>
        </is>
      </c>
      <c r="D170" s="3" t="inlineStr">
        <is>
          <t>京都府</t>
        </is>
      </c>
      <c r="E170" s="3" t="inlineStr">
        <is>
          <t>hiroyuki_tago@okamoto-hp.or.jp</t>
        </is>
      </c>
      <c r="F170" s="3" t="inlineStr">
        <is>
          <t>リハビリテーション部/部長</t>
        </is>
      </c>
      <c r="G170" s="3" t="n">
        <v>306</v>
      </c>
      <c r="H170" s="3" t="n">
        <v>14</v>
      </c>
      <c r="I170" s="3" t="n">
        <v>5</v>
      </c>
      <c r="J170" s="3" t="inlineStr">
        <is>
          <t>届け出をしておらず、検討もしていない</t>
        </is>
      </c>
      <c r="K170" s="3" t="inlineStr">
        <is>
          <t>関節可動域運動, 筋力増強運動, 呼吸リハビリテーション, DVT予防, リラクセーション, ポジショニング, 自主運動指導, 術後リハビリテーションのオリエンテーション, 離床（例：車椅子移乗,立位,歩行など）</t>
        </is>
      </c>
      <c r="L170" s="3" t="inlineStr">
        <is>
          <t>全症例の0％〜24％程度</t>
        </is>
      </c>
      <c r="N170" s="3" t="inlineStr">
        <is>
          <t>全症例の0％〜24％程度</t>
        </is>
      </c>
      <c r="P170" s="3" t="inlineStr">
        <is>
          <t>全症例の0％〜24％程度</t>
        </is>
      </c>
      <c r="R170" s="3" t="inlineStr">
        <is>
          <t>全症例の0％〜24％程度</t>
        </is>
      </c>
      <c r="T170" s="3" t="inlineStr">
        <is>
          <t>握力, 膝伸展筋力, 5回椅子立ち上がりテスト, 歩行速度, SPPB, TUG, 6分間歩行距離, 開眼片脚立位時間, 骨格筋量指数（SMI）, 下腿周径, SARC-F, GNRI</t>
        </is>
      </c>
      <c r="V170" s="3" t="inlineStr">
        <is>
          <t>J-CHS基準, TUG, 6分間歩行距離, 認知機能, 抑うつや意欲低下, GNRI, 握力</t>
        </is>
      </c>
      <c r="X170" s="3" t="inlineStr">
        <is>
          <t>立ち上がりテスト</t>
        </is>
      </c>
      <c r="Z170" s="3" t="inlineStr">
        <is>
          <t>Barthel Index（BI）, FIM</t>
        </is>
      </c>
      <c r="AB170" s="3" t="inlineStr">
        <is>
          <t>MMSE, HDS-R, MoCA</t>
        </is>
      </c>
      <c r="AD170" s="3" t="inlineStr">
        <is>
          <t>ベッド周囲および病室環境, 実施していない</t>
        </is>
      </c>
      <c r="AE170" s="3" t="inlineStr">
        <is>
          <t>部内ではしているが、施設内の定めはない</t>
        </is>
      </c>
      <c r="AI170" s="3" t="inlineStr">
        <is>
          <t>下肢筋力強化, バランス練習, 歩行練習, 歩容改善, 起立、着座動作練習, 環境調整, 補助具、装具の適正化, 認知面への介入, 行動面への介入, 薬剤調整, 教育、指導</t>
        </is>
      </c>
    </row>
    <row r="171" ht="22.5" customHeight="1">
      <c r="A171" s="32" t="n">
        <v>46100.59355609953</v>
      </c>
      <c r="B171" s="3" t="inlineStr">
        <is>
          <t>高橋　伸寿</t>
        </is>
      </c>
      <c r="C171" s="3" t="inlineStr">
        <is>
          <t>独立行政法人国立病院機構静岡医療センター</t>
        </is>
      </c>
      <c r="D171" s="3" t="inlineStr">
        <is>
          <t>静岡県</t>
        </is>
      </c>
      <c r="E171" s="3" t="inlineStr">
        <is>
          <t>takahashi.nobuhisa.bm@mail.hosp.go.jp</t>
        </is>
      </c>
      <c r="F171" s="3" t="inlineStr">
        <is>
          <t>リハビリテーション科/理学療法士</t>
        </is>
      </c>
      <c r="G171" s="3" t="n">
        <v>193</v>
      </c>
      <c r="H171" s="3" t="n">
        <v>3</v>
      </c>
      <c r="I171" s="3" t="n">
        <v>2</v>
      </c>
      <c r="J171" s="3" t="inlineStr">
        <is>
          <t>届け出をしておらず、検討もしていない</t>
        </is>
      </c>
      <c r="K171" s="3" t="inlineStr">
        <is>
          <t>DVT予防, ポジショニング, 自主運動指導, 術後リハビリテーションのオリエンテーション</t>
        </is>
      </c>
      <c r="L171" s="3" t="inlineStr">
        <is>
          <t>全症例の50％〜74％程度</t>
        </is>
      </c>
      <c r="M171" s="3" t="inlineStr">
        <is>
          <t>介助の際は疼痛に注意する</t>
        </is>
      </c>
      <c r="N171" s="3" t="inlineStr">
        <is>
          <t>全症例の50％〜74％程度</t>
        </is>
      </c>
      <c r="O171" s="3" t="inlineStr">
        <is>
          <t>傾聴し納得されるように促す</t>
        </is>
      </c>
      <c r="P171" s="3" t="inlineStr">
        <is>
          <t>全症例の25％〜49％程度</t>
        </is>
      </c>
      <c r="R171" s="3" t="inlineStr">
        <is>
          <t>全症例の75％〜100％程度</t>
        </is>
      </c>
      <c r="S171" s="3" t="inlineStr">
        <is>
          <t>介助の際に障害になる場合は環境を整える。患者様から環境面での要望がある際は改善に努める。</t>
        </is>
      </c>
      <c r="T171" s="3" t="inlineStr">
        <is>
          <t>握力, 膝伸展筋力</t>
        </is>
      </c>
      <c r="V171" s="3" t="inlineStr">
        <is>
          <t>握力</t>
        </is>
      </c>
      <c r="X171" s="3" t="inlineStr">
        <is>
          <t>実施していない</t>
        </is>
      </c>
      <c r="Y171" s="3" t="inlineStr">
        <is>
          <t>立ち上がり、2ステップテストが実施できる患者様が少ないため。</t>
        </is>
      </c>
      <c r="Z171" s="3" t="inlineStr">
        <is>
          <t>FIM</t>
        </is>
      </c>
      <c r="AB171" s="3" t="inlineStr">
        <is>
          <t>HDS-R</t>
        </is>
      </c>
      <c r="AD171" s="3" t="inlineStr">
        <is>
          <t>開眼片脚立位時間, せん妄, 転倒恐怖感, 過去の転倒歴</t>
        </is>
      </c>
      <c r="AF171" s="3" t="inlineStr">
        <is>
          <t>決まっていない</t>
        </is>
      </c>
      <c r="AI171" s="3" t="inlineStr">
        <is>
          <t>バランス練習, 歩行練習, 歩容改善, 起立、着座動作練習, 補助具、装具の適正化, 教育、指導</t>
        </is>
      </c>
    </row>
    <row r="172" ht="22.5" customHeight="1">
      <c r="A172" s="32" t="n">
        <v>46100.59730770833</v>
      </c>
      <c r="B172" s="3" t="inlineStr">
        <is>
          <t>遠藤　知恵</t>
        </is>
      </c>
      <c r="C172" s="3" t="inlineStr">
        <is>
          <t>社会医療法人　康陽会　中嶋病院</t>
        </is>
      </c>
      <c r="D172" s="3" t="inlineStr">
        <is>
          <t>宮城県</t>
        </is>
      </c>
      <c r="E172" s="3" t="inlineStr">
        <is>
          <t>rehabili@nakajima-hs.or.jp</t>
        </is>
      </c>
      <c r="G172" s="3" t="n">
        <v>826</v>
      </c>
      <c r="H172" s="3" t="n">
        <v>48</v>
      </c>
      <c r="I172" s="3" t="n">
        <v>34</v>
      </c>
      <c r="J172" s="3" t="inlineStr">
        <is>
          <t>届け出はしていないが、現在検討中である</t>
        </is>
      </c>
      <c r="K172" s="3" t="inlineStr">
        <is>
          <t>関節可動域運動, 筋力増強運動, 呼吸リハビリテーション, DVT予防, ポジショニング, 自主運動指導, 術後リハビリテーションのオリエンテーション</t>
        </is>
      </c>
      <c r="L172" s="3" t="inlineStr">
        <is>
          <t>全症例の0％〜24％程度</t>
        </is>
      </c>
      <c r="N172" s="3" t="inlineStr">
        <is>
          <t>全症例の0％〜24％程度</t>
        </is>
      </c>
      <c r="P172" s="3" t="inlineStr">
        <is>
          <t>全症例の0％〜24％程度</t>
        </is>
      </c>
      <c r="R172" s="3" t="inlineStr">
        <is>
          <t>全症例の0％〜24％程度</t>
        </is>
      </c>
      <c r="T172" s="3" t="inlineStr">
        <is>
          <t>膝伸展筋力, 骨格筋量指数（SMI）</t>
        </is>
      </c>
      <c r="V172" s="3" t="inlineStr">
        <is>
          <t>認知機能</t>
        </is>
      </c>
      <c r="X172" s="3" t="inlineStr">
        <is>
          <t>実施していない</t>
        </is>
      </c>
      <c r="Y172" s="3" t="inlineStr">
        <is>
          <t>他の評価で対応しているため</t>
        </is>
      </c>
      <c r="Z172" s="3" t="inlineStr">
        <is>
          <t>Barthel Index（BI）</t>
        </is>
      </c>
      <c r="AB172" s="3" t="inlineStr">
        <is>
          <t>HDS-R, AMTS</t>
        </is>
      </c>
      <c r="AD172" s="3" t="inlineStr">
        <is>
          <t>定量的な下肢筋力測定, Berg Balance Scale（BBS）, 認知機能, 注意障害, せん妄, 過去の転倒歴, 既往疾患の有無（脳血管疾患、パーキンソン病など）, 薬剤（向精神薬、降圧薬、利尿薬、ポリファーマシーなど）, ベッド周囲および病室環境</t>
        </is>
      </c>
      <c r="AF172" s="3" t="inlineStr">
        <is>
          <t>決まっていない</t>
        </is>
      </c>
      <c r="AH172" s="3" t="inlineStr">
        <is>
          <t>決まってはいないが、凡そ術後初回に行うことが多い</t>
        </is>
      </c>
      <c r="AI172" s="3" t="inlineStr">
        <is>
          <t>下肢筋力強化, バランス練習, 歩行練習, 歩容改善, 起立、着座動作練習, 環境調整, 補助具、装具の適正化, 認知面への介入, 行動面への介入, 薬剤調整, 教育、指導</t>
        </is>
      </c>
    </row>
    <row r="173" ht="22.5" customHeight="1">
      <c r="A173" s="32" t="n">
        <v>46100.64269668981</v>
      </c>
      <c r="B173" s="3" t="inlineStr">
        <is>
          <t>深谷　大輔</t>
        </is>
      </c>
      <c r="C173" s="3" t="inlineStr">
        <is>
          <t>社会医療法人社団光仁会　総合守谷第一病院</t>
        </is>
      </c>
      <c r="D173" s="3" t="inlineStr">
        <is>
          <t>茨城県</t>
        </is>
      </c>
      <c r="E173" s="3" t="inlineStr">
        <is>
          <t>fullmetalpt0423@gmail.com</t>
        </is>
      </c>
      <c r="F173" s="3" t="inlineStr">
        <is>
          <t>総合リハビリテーション室／理学療法士</t>
        </is>
      </c>
      <c r="G173" s="3" t="n">
        <v>58</v>
      </c>
      <c r="H173" s="3" t="n">
        <v>16</v>
      </c>
      <c r="I173" s="3" t="n">
        <v>6</v>
      </c>
      <c r="J173" s="3" t="inlineStr">
        <is>
          <t>現在、算定している</t>
        </is>
      </c>
      <c r="K173" s="3" t="inlineStr">
        <is>
          <t>関節可動域運動, 筋力増強運動, DVT予防, 自主運動指導, 術後リハビリテーションのオリエンテーション</t>
        </is>
      </c>
      <c r="L173" s="3" t="inlineStr">
        <is>
          <t>全症例の0％〜24％程度</t>
        </is>
      </c>
      <c r="N173" s="3" t="inlineStr">
        <is>
          <t>全症例の0％〜24％程度</t>
        </is>
      </c>
      <c r="P173" s="3" t="inlineStr">
        <is>
          <t>全症例の0％〜24％程度</t>
        </is>
      </c>
      <c r="R173" s="3" t="inlineStr">
        <is>
          <t>全症例の0％〜24％程度</t>
        </is>
      </c>
      <c r="T173" s="3" t="inlineStr">
        <is>
          <t>握力, 5回椅子立ち上がりテスト, TUG, 下腿周径</t>
        </is>
      </c>
      <c r="V173" s="3" t="inlineStr">
        <is>
          <t>TUG, 握力</t>
        </is>
      </c>
      <c r="X173" s="3" t="inlineStr">
        <is>
          <t>立ち上がりテスト</t>
        </is>
      </c>
      <c r="Z173" s="3" t="inlineStr">
        <is>
          <t>Barthel Index（BI）</t>
        </is>
      </c>
      <c r="AB173" s="3" t="inlineStr">
        <is>
          <t>MMSE, HDS-R, AMTS</t>
        </is>
      </c>
      <c r="AD173" s="3" t="inlineStr">
        <is>
          <t>TUG, 5回椅子立ち上がりテスト</t>
        </is>
      </c>
      <c r="AF173" s="3" t="inlineStr">
        <is>
          <t>決まっている</t>
        </is>
      </c>
      <c r="AG173" s="3" t="inlineStr">
        <is>
          <t>退院時</t>
        </is>
      </c>
      <c r="AI173" s="3" t="inlineStr">
        <is>
          <t>下肢筋力強化, バランス練習, 歩行練習, 歩容改善, 起立、着座動作練習, 環境調整, 補助具、装具の適正化, 教育、指導</t>
        </is>
      </c>
    </row>
    <row r="174" ht="22.5" customHeight="1">
      <c r="A174" s="32" t="n">
        <v>46100.64787122685</v>
      </c>
      <c r="B174" s="3" t="inlineStr">
        <is>
          <t>嘉数　美千代</t>
        </is>
      </c>
      <c r="C174" s="3" t="inlineStr">
        <is>
          <t>沖縄県立中部病院</t>
        </is>
      </c>
      <c r="D174" s="3" t="inlineStr">
        <is>
          <t>沖縄県</t>
        </is>
      </c>
      <c r="E174" s="3" t="inlineStr">
        <is>
          <t>kakazu_michiyo@hosp.pref.okinawa.jp</t>
        </is>
      </c>
      <c r="F174" s="3" t="inlineStr">
        <is>
          <t>理学療法士</t>
        </is>
      </c>
      <c r="G174" s="3" t="n">
        <v>996</v>
      </c>
      <c r="H174" s="3" t="n">
        <v>12</v>
      </c>
      <c r="I174" s="3" t="n">
        <v>2</v>
      </c>
      <c r="J174" s="3" t="inlineStr">
        <is>
          <t>届け出はしていないが、現在検討中である</t>
        </is>
      </c>
      <c r="K174" s="3" t="inlineStr">
        <is>
          <t>筋力増強運動, 自主運動指導, 離床（例：車椅子移乗,立位,歩行など）</t>
        </is>
      </c>
      <c r="L174" s="3" t="inlineStr">
        <is>
          <t>全症例の0％〜24％程度</t>
        </is>
      </c>
      <c r="N174" s="3" t="inlineStr">
        <is>
          <t>全症例の0％〜24％程度</t>
        </is>
      </c>
      <c r="P174" s="3" t="inlineStr">
        <is>
          <t>全症例の0％〜24％程度</t>
        </is>
      </c>
      <c r="R174" s="3" t="inlineStr">
        <is>
          <t>全症例の0％〜24％程度</t>
        </is>
      </c>
      <c r="T174" s="3" t="inlineStr">
        <is>
          <t>握力, 膝伸展筋力, 5回椅子立ち上がりテスト, 歩行速度, SPPB</t>
        </is>
      </c>
      <c r="V174" s="3" t="inlineStr">
        <is>
          <t>認知機能, 握力</t>
        </is>
      </c>
      <c r="X174" s="3" t="inlineStr">
        <is>
          <t>実施していない</t>
        </is>
      </c>
      <c r="Y174" s="3" t="inlineStr">
        <is>
          <t>特にロコモテストをするわけではなく問題となりそうであれば必要な評価を行う形です</t>
        </is>
      </c>
      <c r="Z174" s="3" t="inlineStr">
        <is>
          <t>FIM</t>
        </is>
      </c>
      <c r="AB174" s="3" t="inlineStr">
        <is>
          <t>MMSE, HDS-R, MoCA</t>
        </is>
      </c>
      <c r="AD174" s="3" t="inlineStr">
        <is>
          <t>定量的な下肢筋力測定, 開眼片脚立位時間, TUG, 10m歩行速度, Berg Balance Scale（BBS）, SPPB、Functional Reach Test（FRT）, 5回椅子立ち上がりテスト, 深部感覚評価, 認知機能, 注意障害, 遂行機能</t>
        </is>
      </c>
      <c r="AF174" s="3" t="inlineStr">
        <is>
          <t>決まっていない</t>
        </is>
      </c>
      <c r="AH174" s="3" t="inlineStr">
        <is>
          <t>担当セラピストが必要と感じた時</t>
        </is>
      </c>
      <c r="AI174" s="3" t="inlineStr">
        <is>
          <t>下肢筋力強化, バランス練習, 歩行練習, 歩容改善, 起立、着座動作練習, 環境調整, 補助具、装具の適正化, 行動面への介入, 教育、指導</t>
        </is>
      </c>
    </row>
    <row r="175" ht="22.5" customHeight="1">
      <c r="A175" s="32" t="n">
        <v>46100.69444653935</v>
      </c>
      <c r="B175" s="3" t="inlineStr">
        <is>
          <t>今井則之</t>
        </is>
      </c>
      <c r="C175" s="3" t="inlineStr">
        <is>
          <t>中津川市民病院</t>
        </is>
      </c>
      <c r="D175" s="3" t="inlineStr">
        <is>
          <t>岐阜県</t>
        </is>
      </c>
      <c r="E175" s="3" t="inlineStr">
        <is>
          <t>reha_hp@hosp.city.nakatsugawa.gifu.jp</t>
        </is>
      </c>
      <c r="F175" s="3" t="inlineStr">
        <is>
          <t>リハビリテーション技術科/理学療法士</t>
        </is>
      </c>
      <c r="G175" s="3" t="n">
        <v>214</v>
      </c>
      <c r="H175" s="3" t="n">
        <v>8</v>
      </c>
      <c r="I175" s="3" t="n">
        <v>0</v>
      </c>
      <c r="J175" s="3" t="inlineStr">
        <is>
          <t>届け出をしておらず、検討もしていない</t>
        </is>
      </c>
      <c r="K175" s="3" t="inlineStr">
        <is>
          <t>関節可動域運動, 筋力増強運動, 自主運動指導, 術後リハビリテーションのオリエンテーション, 離床（例：車椅子移乗,立位,歩行など）</t>
        </is>
      </c>
      <c r="L175" s="3" t="inlineStr">
        <is>
          <t>全症例の25％〜49％程度</t>
        </is>
      </c>
      <c r="N175" s="3" t="inlineStr">
        <is>
          <t>全症例の0％〜24％程度</t>
        </is>
      </c>
      <c r="P175" s="3" t="inlineStr">
        <is>
          <t>全症例の0％〜24％程度</t>
        </is>
      </c>
      <c r="R175" s="3" t="inlineStr">
        <is>
          <t>全症例の0％〜24％程度</t>
        </is>
      </c>
      <c r="T175" s="3" t="inlineStr">
        <is>
          <t>握力, 歩行速度, SPPB, TUG</t>
        </is>
      </c>
      <c r="V175" s="3" t="inlineStr">
        <is>
          <t>Frailty Index（累積欠損モデル）</t>
        </is>
      </c>
      <c r="X175" s="3" t="inlineStr">
        <is>
          <t>立ち上がりテスト</t>
        </is>
      </c>
      <c r="Z175" s="3" t="inlineStr">
        <is>
          <t>Barthel Index（BI）</t>
        </is>
      </c>
      <c r="AB175" s="3" t="inlineStr">
        <is>
          <t>MMSE, HDS-R</t>
        </is>
      </c>
      <c r="AD175" s="3" t="inlineStr">
        <is>
          <t>定量的な下肢筋力測定, TUG, 5回椅子立ち上がりテスト</t>
        </is>
      </c>
      <c r="AF175" s="3" t="inlineStr">
        <is>
          <t>決まっていない</t>
        </is>
      </c>
      <c r="AI175" s="3" t="inlineStr">
        <is>
          <t>下肢筋力強化, バランス練習, 歩行練習, 歩容改善, 起立、着座動作練習, 環境調整, 補助具、装具の適正化, 認知面への介入, 行動面への介入, 教育、指導</t>
        </is>
      </c>
    </row>
    <row r="176" ht="22.5" customHeight="1">
      <c r="A176" s="32" t="n">
        <v>46100.70649611111</v>
      </c>
      <c r="B176" s="3" t="inlineStr">
        <is>
          <t>理学療法士</t>
        </is>
      </c>
      <c r="C176" s="3" t="inlineStr">
        <is>
          <t>社会医療法人社団菊田会　習志野第一病院</t>
        </is>
      </c>
      <c r="D176" s="3" t="inlineStr">
        <is>
          <t>千葉県</t>
        </is>
      </c>
      <c r="E176" s="3" t="inlineStr">
        <is>
          <t>reha@naraichi.or.jp</t>
        </is>
      </c>
      <c r="F176" s="3" t="inlineStr">
        <is>
          <t>リハビリテーション科　理学療法士</t>
        </is>
      </c>
      <c r="G176" s="3" t="n">
        <v>683</v>
      </c>
      <c r="H176" s="3" t="n">
        <v>20</v>
      </c>
      <c r="I176" s="3" t="n">
        <v>4</v>
      </c>
      <c r="J176" s="3" t="inlineStr">
        <is>
          <t>届け出はしていないが、現在検討中である</t>
        </is>
      </c>
      <c r="K176" s="3" t="inlineStr">
        <is>
          <t>関節可動域運動, 筋力増強運動, DVT予防, 自主運動指導, 術後リハビリテーションのオリエンテーション</t>
        </is>
      </c>
      <c r="L176" s="3" t="inlineStr">
        <is>
          <t>全症例の25％〜49％程度</t>
        </is>
      </c>
      <c r="N176" s="3" t="inlineStr">
        <is>
          <t>全症例の0％〜24％程度</t>
        </is>
      </c>
      <c r="P176" s="3" t="inlineStr">
        <is>
          <t>全症例の0％〜24％程度</t>
        </is>
      </c>
      <c r="R176" s="3" t="inlineStr">
        <is>
          <t>全症例の0％〜24％程度</t>
        </is>
      </c>
      <c r="T176" s="3" t="inlineStr">
        <is>
          <t>握力</t>
        </is>
      </c>
      <c r="V176" s="3" t="inlineStr">
        <is>
          <t>握力</t>
        </is>
      </c>
      <c r="X176" s="3" t="inlineStr">
        <is>
          <t>実施していない</t>
        </is>
      </c>
      <c r="Z176" s="3" t="inlineStr">
        <is>
          <t>Barthel Index（BI）, FIM</t>
        </is>
      </c>
      <c r="AB176" s="3" t="inlineStr">
        <is>
          <t>HDS-R</t>
        </is>
      </c>
      <c r="AD176" s="3" t="inlineStr">
        <is>
          <t>SPPB、Functional Reach Test（FRT）, 過去の転倒歴</t>
        </is>
      </c>
      <c r="AF176" s="3" t="inlineStr">
        <is>
          <t>決まっていない</t>
        </is>
      </c>
      <c r="AI176" s="3" t="inlineStr">
        <is>
          <t>下肢筋力強化, バランス練習, 歩行練習, 歩容改善, 起立、着座動作練習, 環境調整, 補助具、装具の適正化, 教育、指導</t>
        </is>
      </c>
    </row>
    <row r="177" ht="22.5" customHeight="1">
      <c r="A177" s="32" t="n">
        <v>46100.86547503472</v>
      </c>
      <c r="B177" s="3" t="inlineStr">
        <is>
          <t>伊東正嗣</t>
        </is>
      </c>
      <c r="C177" s="3" t="inlineStr">
        <is>
          <t>一般財団法人大原記念財団　大原綜合病院</t>
        </is>
      </c>
      <c r="D177" s="3" t="inlineStr">
        <is>
          <t>福島県</t>
        </is>
      </c>
      <c r="E177" s="3" t="inlineStr">
        <is>
          <t>m-ito@ohara-hp.or.jp</t>
        </is>
      </c>
      <c r="F177" s="3" t="inlineStr">
        <is>
          <t>診療リハビリテーション科／理学療法士</t>
        </is>
      </c>
      <c r="G177" s="3" t="n">
        <v>112</v>
      </c>
      <c r="H177" s="3" t="n">
        <v>21</v>
      </c>
      <c r="I177" s="3" t="n">
        <v>0</v>
      </c>
      <c r="J177" s="3" t="inlineStr">
        <is>
          <t>届け出はしていないが、現在検討中である</t>
        </is>
      </c>
      <c r="K177" s="3" t="inlineStr">
        <is>
          <t>関節可動域運動, 筋力増強運動, DVT予防, リラクセーション, ポジショニング, 自主運動指導, 術後リハビリテーションのオリエンテーション, 離床（例：車椅子移乗,立位,歩行など）</t>
        </is>
      </c>
      <c r="L177" s="3" t="inlineStr">
        <is>
          <t>全症例の75％〜100％程度</t>
        </is>
      </c>
      <c r="N177" s="3" t="inlineStr">
        <is>
          <t>全症例の75％〜100％程度</t>
        </is>
      </c>
      <c r="P177" s="3" t="inlineStr">
        <is>
          <t>全症例の75％〜100％程度</t>
        </is>
      </c>
      <c r="R177" s="3" t="inlineStr">
        <is>
          <t>全症例の75％〜100％程度</t>
        </is>
      </c>
      <c r="S177" s="3" t="inlineStr">
        <is>
          <t>Q6～9について、当院のクリニカルパスで術後翌日のメニューは端座位までと設定している。よって様々な原因を問わず、立位まで行う例はごくわずか。</t>
        </is>
      </c>
      <c r="T177" s="3" t="inlineStr">
        <is>
          <t>実施していない</t>
        </is>
      </c>
      <c r="U177" s="3" t="inlineStr">
        <is>
          <t>後述の転倒リスク評価を実施しているため、サルコペニアという観点では評価していない。</t>
        </is>
      </c>
      <c r="V177" s="3" t="inlineStr">
        <is>
          <t>実施していない</t>
        </is>
      </c>
      <c r="W177" s="3" t="inlineStr">
        <is>
          <t>後述の転倒リスク評価を実施しているため、フレイルという観点では評価していない。</t>
        </is>
      </c>
      <c r="X177" s="3" t="inlineStr">
        <is>
          <t>実施していない</t>
        </is>
      </c>
      <c r="Y177" s="3" t="inlineStr">
        <is>
          <t>後述の転倒リスク評価を実施しているため、ロコモティブシンドロームという観点では評価していない。</t>
        </is>
      </c>
      <c r="Z177" s="3" t="inlineStr">
        <is>
          <t>Barthel Index（BI）</t>
        </is>
      </c>
      <c r="AB177" s="3" t="inlineStr">
        <is>
          <t>HDS-R</t>
        </is>
      </c>
      <c r="AD177" s="3" t="inlineStr">
        <is>
          <t>開眼片脚立位時間, TUG, 10m歩行速度, 5回椅子立ち上がりテスト, 握力</t>
        </is>
      </c>
      <c r="AF177" s="3" t="inlineStr">
        <is>
          <t>決まっていない</t>
        </is>
      </c>
      <c r="AG177" s="3" t="inlineStr">
        <is>
          <t>初回は術後７日目。以後4週まで1週ごとに評価。</t>
        </is>
      </c>
      <c r="AI177" s="3" t="inlineStr">
        <is>
          <t>下肢筋力強化, バランス練習, 歩行練習, 歩容改善, 起立、着座動作練習, 環境調整, 補助具、装具の適正化, 認知面への介入, 行動面への介入, 教育、指導</t>
        </is>
      </c>
    </row>
    <row r="178" ht="22.5" customHeight="1">
      <c r="A178" s="32" t="n">
        <v>46101.33994768518</v>
      </c>
      <c r="B178" s="3" t="inlineStr">
        <is>
          <t>青山　幸恵</t>
        </is>
      </c>
      <c r="C178" s="3" t="inlineStr">
        <is>
          <t>独立行政法人国立病院機構　豊橋医療センター</t>
        </is>
      </c>
      <c r="D178" s="3" t="inlineStr">
        <is>
          <t>愛知県</t>
        </is>
      </c>
      <c r="E178" s="3" t="inlineStr">
        <is>
          <t>31saboc79chi@gmail.com</t>
        </is>
      </c>
      <c r="F178" s="3" t="inlineStr">
        <is>
          <t>リハビリテーション科　作業療法士</t>
        </is>
      </c>
      <c r="G178" s="3" t="n">
        <v>231</v>
      </c>
      <c r="H178" s="3" t="n">
        <v>9</v>
      </c>
      <c r="I178" s="3" t="n">
        <v>5</v>
      </c>
      <c r="J178" s="3" t="inlineStr">
        <is>
          <t>届け出をしておらず、検討もしていない</t>
        </is>
      </c>
      <c r="K178" s="3" t="inlineStr">
        <is>
          <t>実施していない</t>
        </is>
      </c>
      <c r="L178" s="3" t="inlineStr">
        <is>
          <t>全症例の25％〜49％程度</t>
        </is>
      </c>
      <c r="N178" s="3" t="inlineStr">
        <is>
          <t>全症例の0％〜24％程度</t>
        </is>
      </c>
      <c r="P178" s="3" t="inlineStr">
        <is>
          <t>全症例の25％〜49％程度</t>
        </is>
      </c>
      <c r="R178" s="3" t="inlineStr">
        <is>
          <t>全症例の25％〜49％程度</t>
        </is>
      </c>
      <c r="T178" s="3" t="inlineStr">
        <is>
          <t>握力</t>
        </is>
      </c>
      <c r="V178" s="3" t="inlineStr">
        <is>
          <t>認知機能, 握力</t>
        </is>
      </c>
      <c r="X178" s="3" t="inlineStr">
        <is>
          <t>実施していない</t>
        </is>
      </c>
      <c r="Y178" s="3" t="inlineStr">
        <is>
          <t>術後介入開始であり、評価を実施できる身体的機能がない。</t>
        </is>
      </c>
      <c r="Z178" s="3" t="inlineStr">
        <is>
          <t>Barthel Index（BI）, FIM</t>
        </is>
      </c>
      <c r="AB178" s="3" t="inlineStr">
        <is>
          <t>MMSE, HDS-R, AMTS</t>
        </is>
      </c>
      <c r="AD178" s="3" t="inlineStr">
        <is>
          <t>認知機能, 注意障害, 過去の転倒歴, 既往疾患の有無（脳血管疾患、パーキンソン病など）, 転倒リスク評価表</t>
        </is>
      </c>
      <c r="AF178" s="3" t="inlineStr">
        <is>
          <t>決まっていない</t>
        </is>
      </c>
      <c r="AH178" s="3" t="inlineStr">
        <is>
          <t>疼痛や睡眠不足などがあり、評価に応じられない状態があるため体調に合わせて実施する。</t>
        </is>
      </c>
      <c r="AI178" s="3" t="inlineStr">
        <is>
          <t>下肢筋力強化, バランス練習, 歩行練習, 歩容改善, 起立、着座動作練習, 環境調整, 補助具、装具の適正化, 認知面への介入, 行動面への介入, 教育、指導</t>
        </is>
      </c>
    </row>
    <row r="179" ht="22.5" customHeight="1">
      <c r="A179" s="32" t="n">
        <v>46101.43387967593</v>
      </c>
      <c r="B179" s="3" t="inlineStr">
        <is>
          <t>前田 大輔</t>
        </is>
      </c>
      <c r="C179" s="3" t="inlineStr">
        <is>
          <t>社会医療法人 弘道会 守口生野記念病院</t>
        </is>
      </c>
      <c r="D179" s="3" t="inlineStr">
        <is>
          <t>大阪府</t>
        </is>
      </c>
      <c r="E179" s="3" t="inlineStr">
        <is>
          <t>qiantiandafu8@gmail.com</t>
        </is>
      </c>
      <c r="F179" s="3" t="inlineStr">
        <is>
          <t>リハビリテーション科/作業療法士</t>
        </is>
      </c>
      <c r="G179" s="3" t="n">
        <v>169</v>
      </c>
      <c r="H179" s="3" t="n">
        <v>6</v>
      </c>
      <c r="I179" s="3" t="n">
        <v>1</v>
      </c>
      <c r="J179" s="3" t="inlineStr">
        <is>
          <t>現在、算定している</t>
        </is>
      </c>
      <c r="K179" s="3" t="inlineStr">
        <is>
          <t>関節可動域運動, DVT予防, リラクセーション, ポジショニング, 術後リハビリテーションのオリエンテーション, 離床（例：車椅子移乗,立位,歩行など）</t>
        </is>
      </c>
      <c r="L179" s="3" t="inlineStr">
        <is>
          <t>全症例の25％〜49％程度</t>
        </is>
      </c>
      <c r="N179" s="3" t="inlineStr">
        <is>
          <t>全症例の25％〜49％程度</t>
        </is>
      </c>
      <c r="P179" s="3" t="inlineStr">
        <is>
          <t>全症例の0％〜24％程度</t>
        </is>
      </c>
      <c r="R179" s="3" t="inlineStr">
        <is>
          <t>全症例の0％〜24％程度</t>
        </is>
      </c>
      <c r="T179" s="3" t="inlineStr">
        <is>
          <t>膝伸展筋力, 5回椅子立ち上がりテスト, 歩行速度, TUG, 6分間歩行距離</t>
        </is>
      </c>
      <c r="V179" s="3" t="inlineStr">
        <is>
          <t>TUG, 6分間歩行距離, 認知機能, 握力</t>
        </is>
      </c>
      <c r="X179" s="3" t="inlineStr">
        <is>
          <t>立ち上がりテスト</t>
        </is>
      </c>
      <c r="Z179" s="3" t="inlineStr">
        <is>
          <t>Barthel Index（BI）, FIM</t>
        </is>
      </c>
      <c r="AB179" s="3" t="inlineStr">
        <is>
          <t>MMSE, HDS-R, AMTS</t>
        </is>
      </c>
      <c r="AD179" s="3" t="inlineStr">
        <is>
          <t>定量的な下肢筋力測定, TUG, 10m歩行速度, 深部感覚評価, 認知機能, 注意障害, 遂行機能, せん妄, 過去の転倒歴, 既往疾患の有無（脳血管疾患、パーキンソン病など）</t>
        </is>
      </c>
      <c r="AF179" s="3" t="inlineStr">
        <is>
          <t>決まっている</t>
        </is>
      </c>
      <c r="AG179" s="3" t="inlineStr">
        <is>
          <t>術翌日と退院前</t>
        </is>
      </c>
      <c r="AI179" s="3" t="inlineStr">
        <is>
          <t>下肢筋力強化, バランス練習, 歩行練習, 環境調整, 認知面への介入, 教育、指導</t>
        </is>
      </c>
    </row>
    <row r="180" ht="22.5" customHeight="1">
      <c r="A180" s="32" t="n">
        <v>46101.71315163194</v>
      </c>
      <c r="B180" s="3" t="inlineStr">
        <is>
          <t>吉田駿</t>
        </is>
      </c>
      <c r="C180" s="3" t="inlineStr">
        <is>
          <t>JCHO金沢病院</t>
        </is>
      </c>
      <c r="D180" s="3" t="inlineStr">
        <is>
          <t>石川県</t>
        </is>
      </c>
      <c r="E180" s="3" t="inlineStr">
        <is>
          <t>yoshida-shun@kanazawa.jcho.go.jp</t>
        </is>
      </c>
      <c r="F180" s="3" t="inlineStr">
        <is>
          <t>リハビリテーション科/理学療法士</t>
        </is>
      </c>
      <c r="G180" s="3" t="n">
        <v>110</v>
      </c>
      <c r="H180" s="3" t="n">
        <v>17</v>
      </c>
      <c r="I180" s="3" t="n">
        <v>12</v>
      </c>
      <c r="J180" s="3" t="inlineStr">
        <is>
          <t>届け出をしておらず、検討もしていない</t>
        </is>
      </c>
      <c r="K180" s="3" t="inlineStr">
        <is>
          <t>関節可動域運動, 呼吸リハビリテーション, ポジショニング, 術後リハビリテーションのオリエンテーション</t>
        </is>
      </c>
      <c r="L180" s="3" t="inlineStr">
        <is>
          <t>全症例の75％〜100％程度</t>
        </is>
      </c>
      <c r="M180" s="3" t="inlineStr">
        <is>
          <t>物理療法（電気超音波複合療法）</t>
        </is>
      </c>
      <c r="N180" s="3" t="inlineStr">
        <is>
          <t>全症例の25％〜49％程度</t>
        </is>
      </c>
      <c r="P180" s="3" t="inlineStr">
        <is>
          <t>全症例の25％〜49％程度</t>
        </is>
      </c>
      <c r="R180" s="3" t="inlineStr">
        <is>
          <t>全症例の0％〜24％程度</t>
        </is>
      </c>
      <c r="T180" s="3" t="inlineStr">
        <is>
          <t>握力, 5回椅子立ち上がりテスト, 歩行速度, SPPB</t>
        </is>
      </c>
      <c r="V180" s="3" t="inlineStr">
        <is>
          <t>認知機能, 握力</t>
        </is>
      </c>
      <c r="X180" s="3" t="inlineStr">
        <is>
          <t>実施していない</t>
        </is>
      </c>
      <c r="Y180" s="3" t="inlineStr">
        <is>
          <t>超高齢者が多く、実施困難例が多いため。</t>
        </is>
      </c>
      <c r="Z180" s="3" t="inlineStr">
        <is>
          <t>Barthel Index（BI）</t>
        </is>
      </c>
      <c r="AB180" s="3" t="inlineStr">
        <is>
          <t>MMSE, AMTS</t>
        </is>
      </c>
      <c r="AD180" s="3" t="inlineStr">
        <is>
          <t>SPPB、Functional Reach Test（FRT）, 5回椅子立ち上がりテスト, 認知機能, せん妄, 過去の転倒歴, 既往疾患の有無（脳血管疾患、パーキンソン病など）, 薬剤（向精神薬、降圧薬、利尿薬、ポリファーマシーなど）, ベッド周囲および病室環境</t>
        </is>
      </c>
      <c r="AF180" s="3" t="inlineStr">
        <is>
          <t>決まっている</t>
        </is>
      </c>
      <c r="AG180" s="3" t="inlineStr">
        <is>
          <t>4～5日以内</t>
        </is>
      </c>
      <c r="AI180" s="3" t="inlineStr">
        <is>
          <t>下肢筋力強化, バランス練習, 歩行練習, 歩容改善, 起立、着座動作練習, 環境調整, 補助具、装具の適正化, 認知面への介入, 教育、指導</t>
        </is>
      </c>
    </row>
    <row r="181" ht="22.5" customHeight="1">
      <c r="A181" s="32" t="n">
        <v>46102.49096099537</v>
      </c>
      <c r="B181" s="3" t="inlineStr">
        <is>
          <t>鬼村厚志</t>
        </is>
      </c>
      <c r="C181" s="3" t="inlineStr">
        <is>
          <t>新武雄病院</t>
        </is>
      </c>
      <c r="D181" s="3" t="inlineStr">
        <is>
          <t>佐賀県</t>
        </is>
      </c>
      <c r="E181" s="3" t="inlineStr">
        <is>
          <t>yakushyoku.t-reha@shintakeo-hp.or.jp</t>
        </is>
      </c>
      <c r="F181" s="3" t="inlineStr">
        <is>
          <t>リハビリテーション科/理学療法士</t>
        </is>
      </c>
      <c r="G181" s="3" t="n">
        <v>160</v>
      </c>
      <c r="H181" s="3" t="n">
        <v>25</v>
      </c>
      <c r="I181" s="3" t="n">
        <v>14</v>
      </c>
      <c r="J181" s="3" t="inlineStr">
        <is>
          <t>届け出はしていないが、現在検討中である</t>
        </is>
      </c>
      <c r="K181" s="3" t="inlineStr">
        <is>
          <t>関節可動域運動, 筋力増強運動, 呼吸リハビリテーション, DVT予防, ポジショニング, 自主運動指導, 術後リハビリテーションのオリエンテーション</t>
        </is>
      </c>
      <c r="L181" s="3" t="inlineStr">
        <is>
          <t>全症例の0％〜24％程度</t>
        </is>
      </c>
      <c r="N181" s="3" t="inlineStr">
        <is>
          <t>全症例の0％〜24％程度</t>
        </is>
      </c>
      <c r="P181" s="3" t="inlineStr">
        <is>
          <t>全症例の0％〜24％程度</t>
        </is>
      </c>
      <c r="R181" s="3" t="inlineStr">
        <is>
          <t>全症例の0％〜24％程度</t>
        </is>
      </c>
      <c r="T181" s="3" t="inlineStr">
        <is>
          <t>握力, 膝伸展筋力, 下腿周径</t>
        </is>
      </c>
      <c r="V181" s="3" t="inlineStr">
        <is>
          <t>認知機能, 握力</t>
        </is>
      </c>
      <c r="X181" s="3" t="inlineStr">
        <is>
          <t>実施していない</t>
        </is>
      </c>
      <c r="Z181" s="3" t="inlineStr">
        <is>
          <t>Barthel Index（BI）</t>
        </is>
      </c>
      <c r="AB181" s="3" t="inlineStr">
        <is>
          <t>MMSE</t>
        </is>
      </c>
      <c r="AD181" s="3" t="inlineStr">
        <is>
          <t>定量的な下肢筋力測定, 認知機能, 過去の転倒歴, 既往疾患の有無（脳血管疾患、パーキンソン病など）, 薬剤（向精神薬、降圧薬、利尿薬、ポリファーマシーなど）, ベッド周囲および病室環境</t>
        </is>
      </c>
      <c r="AF181" s="3" t="inlineStr">
        <is>
          <t>決まっている</t>
        </is>
      </c>
      <c r="AG181" s="3" t="inlineStr">
        <is>
          <t>術後1日目に行い、その後1週間毎に行う。</t>
        </is>
      </c>
      <c r="AI181" s="3" t="inlineStr">
        <is>
          <t>下肢筋力強化, バランス練習, 歩行練習, 歩容改善, 起立、着座動作練習, 環境調整, 補助具、装具の適正化, 認知面への介入, 行動面への介入, 教育、指導</t>
        </is>
      </c>
    </row>
    <row r="182" ht="22.5" customHeight="1">
      <c r="A182" s="32" t="n">
        <v>46102.49109671296</v>
      </c>
      <c r="B182" s="3" t="inlineStr">
        <is>
          <t>山田賢一</t>
        </is>
      </c>
      <c r="C182" s="3" t="inlineStr">
        <is>
          <t>社会医療法人　守口生野記念病院</t>
        </is>
      </c>
      <c r="D182" s="3" t="inlineStr">
        <is>
          <t>大阪府</t>
        </is>
      </c>
      <c r="E182" s="3" t="inlineStr">
        <is>
          <t>moriguchi.ikuno.reha@gmail.com</t>
        </is>
      </c>
      <c r="F182" s="3" t="inlineStr">
        <is>
          <t>リハビリテーション科/理学療法士</t>
        </is>
      </c>
      <c r="G182" s="3" t="n">
        <v>169</v>
      </c>
      <c r="H182" s="3" t="n">
        <v>7</v>
      </c>
      <c r="I182" s="3" t="n">
        <v>3</v>
      </c>
      <c r="J182" s="3" t="inlineStr">
        <is>
          <t>届け出はしていないが、現在検討中である</t>
        </is>
      </c>
      <c r="K182" s="3" t="inlineStr">
        <is>
          <t>関節可動域運動, 筋力増強運動, DVT予防, リラクセーション, ポジショニング</t>
        </is>
      </c>
      <c r="L182" s="3" t="inlineStr">
        <is>
          <t>全症例の0％〜24％程度</t>
        </is>
      </c>
      <c r="N182" s="3" t="inlineStr">
        <is>
          <t>全症例の0％〜24％程度</t>
        </is>
      </c>
      <c r="P182" s="3" t="inlineStr">
        <is>
          <t>全症例の0％〜24％程度</t>
        </is>
      </c>
      <c r="R182" s="3" t="inlineStr">
        <is>
          <t>全症例の0％〜24％程度</t>
        </is>
      </c>
      <c r="T182" s="3" t="inlineStr">
        <is>
          <t>膝伸展筋力</t>
        </is>
      </c>
      <c r="V182" s="3" t="inlineStr">
        <is>
          <t>認知機能</t>
        </is>
      </c>
      <c r="X182" s="3" t="inlineStr">
        <is>
          <t>立ち上がりテスト</t>
        </is>
      </c>
      <c r="Z182" s="3" t="inlineStr">
        <is>
          <t>Barthel Index（BI）, FIM</t>
        </is>
      </c>
      <c r="AB182" s="3" t="inlineStr">
        <is>
          <t>AMTS</t>
        </is>
      </c>
      <c r="AD182" s="3" t="inlineStr">
        <is>
          <t>定量的な下肢筋力測定, 開眼片脚立位時間, TUG, Berg Balance Scale（BBS）</t>
        </is>
      </c>
      <c r="AF182" s="3" t="inlineStr">
        <is>
          <t>決まっていない</t>
        </is>
      </c>
      <c r="AH182" s="3" t="inlineStr">
        <is>
          <t>病棟歩行が可能かどうかの時に測定するので時期は決まってないです</t>
        </is>
      </c>
      <c r="AI182" s="3" t="inlineStr">
        <is>
          <t>下肢筋力強化, バランス練習, 歩行練習, 環境調整</t>
        </is>
      </c>
    </row>
    <row r="183" ht="22.5" customHeight="1">
      <c r="A183" s="32" t="n">
        <v>46102.52702710648</v>
      </c>
      <c r="B183" s="3" t="inlineStr">
        <is>
          <t>下田　啓介</t>
        </is>
      </c>
      <c r="C183" s="3" t="inlineStr">
        <is>
          <t>米盛病院</t>
        </is>
      </c>
      <c r="D183" s="3" t="inlineStr">
        <is>
          <t>鹿児島県</t>
        </is>
      </c>
      <c r="E183" s="3" t="inlineStr">
        <is>
          <t>keisuke.shimota@gmail.com</t>
        </is>
      </c>
      <c r="F183" s="3" t="inlineStr">
        <is>
          <t>リハビリテーション部／理学療法士</t>
        </is>
      </c>
      <c r="G183" s="3" t="n">
        <v>606</v>
      </c>
      <c r="H183" s="3" t="n">
        <v>104</v>
      </c>
      <c r="I183" s="3" t="n">
        <v>10</v>
      </c>
      <c r="J183" s="3" t="inlineStr">
        <is>
          <t>現在、算定している</t>
        </is>
      </c>
      <c r="K183" s="3" t="inlineStr">
        <is>
          <t>関節可動域運動, 筋力増強運動, DVT予防, ポジショニング, 自主運動指導, 術後リハビリテーションのオリエンテーション</t>
        </is>
      </c>
      <c r="L183" s="3" t="inlineStr">
        <is>
          <t>全症例の25％〜49％程度</t>
        </is>
      </c>
      <c r="N183" s="3" t="inlineStr">
        <is>
          <t>全症例の0％〜24％程度</t>
        </is>
      </c>
      <c r="P183" s="3" t="inlineStr">
        <is>
          <t>全症例の0％〜24％程度</t>
        </is>
      </c>
      <c r="R183" s="3" t="inlineStr">
        <is>
          <t>全症例の0％〜24％程度</t>
        </is>
      </c>
      <c r="T183" s="3" t="inlineStr">
        <is>
          <t>握力, 5回椅子立ち上がりテスト, 歩行速度, SPPB, TUG, 開眼片脚立位時間, 下腿周径</t>
        </is>
      </c>
      <c r="V183" s="3" t="inlineStr">
        <is>
          <t>TUG, 認知機能, 握力</t>
        </is>
      </c>
      <c r="X183" s="3" t="inlineStr">
        <is>
          <t>実施していない</t>
        </is>
      </c>
      <c r="Y183" s="3" t="inlineStr">
        <is>
          <t>フレイル・サルコペニアの評価を実施しており、これ以上の評価項目の増加は患者負担・業務負担に繋がると考えているため。</t>
        </is>
      </c>
      <c r="Z183" s="3" t="inlineStr">
        <is>
          <t>Barthel Index（BI）, FIM</t>
        </is>
      </c>
      <c r="AB183" s="3" t="inlineStr">
        <is>
          <t>MMSE, AMTS</t>
        </is>
      </c>
      <c r="AD183" s="3" t="inlineStr">
        <is>
          <t>開眼片脚立位時間, TUG, 10m歩行速度, Berg Balance Scale（BBS）, SPPB、Functional Reach Test（FRT）, 5回椅子立ち上がりテスト, 認知機能, 過去の転倒歴, ベッド周囲および病室環境</t>
        </is>
      </c>
      <c r="AF183" s="3" t="inlineStr">
        <is>
          <t>決まっている</t>
        </is>
      </c>
      <c r="AG183" s="3" t="inlineStr">
        <is>
          <t>術後7日目、14日目、以降は2週間毎</t>
        </is>
      </c>
      <c r="AI183" s="3" t="inlineStr">
        <is>
          <t>下肢筋力強化, バランス練習, 歩行練習, 歩容改善, 起立、着座動作練習, 環境調整, 補助具、装具の適正化, 認知面への介入, 教育、指導</t>
        </is>
      </c>
    </row>
    <row r="184" ht="22.5" customHeight="1">
      <c r="A184" s="32" t="n">
        <v>46102.55046193287</v>
      </c>
      <c r="B184" s="3" t="inlineStr">
        <is>
          <t>湯浅 敦智</t>
        </is>
      </c>
      <c r="C184" s="3" t="inlineStr">
        <is>
          <t>市立函館病院</t>
        </is>
      </c>
      <c r="D184" s="3" t="inlineStr">
        <is>
          <t>北海道</t>
        </is>
      </c>
      <c r="E184" s="3" t="inlineStr">
        <is>
          <t>a-yuasa@hospital.hakodate.hokkaido.jp</t>
        </is>
      </c>
      <c r="F184" s="3" t="inlineStr">
        <is>
          <t>リハビリ技術科／理学療法士</t>
        </is>
      </c>
      <c r="G184" s="3" t="n">
        <v>155</v>
      </c>
      <c r="H184" s="3" t="n">
        <v>20</v>
      </c>
      <c r="I184" s="3" t="n">
        <v>12</v>
      </c>
      <c r="J184" s="3" t="inlineStr">
        <is>
          <t>届け出をしておらず、検討もしていない</t>
        </is>
      </c>
      <c r="K184" s="3" t="inlineStr">
        <is>
          <t>関節可動域運動, 筋力増強運動, DVT予防, 自主運動指導, 術後リハビリテーションのオリエンテーション</t>
        </is>
      </c>
      <c r="L184" s="3" t="inlineStr">
        <is>
          <t>全症例の25％〜49％程度</t>
        </is>
      </c>
      <c r="N184" s="3" t="inlineStr">
        <is>
          <t>全症例の25％〜49％程度</t>
        </is>
      </c>
      <c r="P184" s="3" t="inlineStr">
        <is>
          <t>全症例の0％〜24％程度</t>
        </is>
      </c>
      <c r="R184" s="3" t="inlineStr">
        <is>
          <t>全症例の0％〜24％程度</t>
        </is>
      </c>
      <c r="T184" s="3" t="inlineStr">
        <is>
          <t>握力, 歩行速度, SPPB</t>
        </is>
      </c>
      <c r="V184" s="3" t="inlineStr">
        <is>
          <t>握力</t>
        </is>
      </c>
      <c r="X184" s="3" t="inlineStr">
        <is>
          <t>実施していない</t>
        </is>
      </c>
      <c r="Y184" s="3" t="inlineStr">
        <is>
          <t>急性期病院で入院期間が短く、術後早期のためロコモティブシンドローム以外の要因に影響を大きく受けるため。</t>
        </is>
      </c>
      <c r="Z184" s="3" t="inlineStr">
        <is>
          <t>Barthel Index（BI）</t>
        </is>
      </c>
      <c r="AB184" s="3" t="inlineStr">
        <is>
          <t>MMSE</t>
        </is>
      </c>
      <c r="AD184" s="3" t="inlineStr">
        <is>
          <t>5回椅子立ち上がりテスト, 認知機能</t>
        </is>
      </c>
      <c r="AF184" s="3" t="inlineStr">
        <is>
          <t>決まっている</t>
        </is>
      </c>
      <c r="AG184" s="3" t="inlineStr">
        <is>
          <t>術後10日目</t>
        </is>
      </c>
      <c r="AI184" s="3" t="inlineStr">
        <is>
          <t>下肢筋力強化, バランス練習, 歩行練習, 歩容改善, 教育、指導</t>
        </is>
      </c>
    </row>
    <row r="185" ht="22.5" customHeight="1">
      <c r="A185" s="32" t="n">
        <v>46102.59161731481</v>
      </c>
      <c r="B185" s="3" t="inlineStr">
        <is>
          <t>森口八郎</t>
        </is>
      </c>
      <c r="C185" s="3" t="inlineStr">
        <is>
          <t>洛和会音羽病院</t>
        </is>
      </c>
      <c r="D185" s="3" t="inlineStr">
        <is>
          <t>京都府</t>
        </is>
      </c>
      <c r="E185" s="3" t="inlineStr">
        <is>
          <t>moriguchi-hachiro@rakuwa.or.jp</t>
        </is>
      </c>
      <c r="F185" s="3" t="inlineStr">
        <is>
          <t>リハビリテーション部／理学療法士</t>
        </is>
      </c>
      <c r="G185" s="3" t="n">
        <v>299</v>
      </c>
      <c r="H185" s="3" t="n">
        <v>13</v>
      </c>
      <c r="I185" s="3" t="n">
        <v>3</v>
      </c>
      <c r="J185" s="3" t="inlineStr">
        <is>
          <t>現在、算定している</t>
        </is>
      </c>
      <c r="K185" s="3" t="inlineStr">
        <is>
          <t>関節可動域運動, 筋力増強運動, DVT予防, ポジショニング</t>
        </is>
      </c>
      <c r="L185" s="3" t="inlineStr">
        <is>
          <t>全症例の25％〜49％程度</t>
        </is>
      </c>
      <c r="N185" s="3" t="inlineStr">
        <is>
          <t>全症例の0％〜24％程度</t>
        </is>
      </c>
      <c r="P185" s="3" t="inlineStr">
        <is>
          <t>全症例の0％〜24％程度</t>
        </is>
      </c>
      <c r="R185" s="3" t="inlineStr">
        <is>
          <t>全症例の0％〜24％程度</t>
        </is>
      </c>
      <c r="T185" s="3" t="inlineStr">
        <is>
          <t>握力, 膝伸展筋力, 5回椅子立ち上がりテスト, 歩行速度, SPPB, 骨格筋量指数（SMI）, 下腿周径</t>
        </is>
      </c>
      <c r="V185" s="3" t="inlineStr">
        <is>
          <t>実施していない</t>
        </is>
      </c>
      <c r="W185" s="3" t="inlineStr">
        <is>
          <t>必要と感じていないため</t>
        </is>
      </c>
      <c r="X185" s="3" t="inlineStr">
        <is>
          <t>実施していない</t>
        </is>
      </c>
      <c r="Y185" s="3" t="inlineStr">
        <is>
          <t>必要と感じていないため</t>
        </is>
      </c>
      <c r="Z185" s="3" t="inlineStr">
        <is>
          <t>Barthel Index（BI）, FIM</t>
        </is>
      </c>
      <c r="AB185" s="3" t="inlineStr">
        <is>
          <t>MMSE, HDS-R, MoCA</t>
        </is>
      </c>
      <c r="AD185" s="3" t="inlineStr">
        <is>
          <t>実施していない</t>
        </is>
      </c>
      <c r="AE185" s="3" t="inlineStr">
        <is>
          <t>FLS活動の一環としては実施していないが、通常の理学療法の一環としては実施している項目はある</t>
        </is>
      </c>
      <c r="AF185" s="3" t="inlineStr">
        <is>
          <t>決まっていない</t>
        </is>
      </c>
      <c r="AH185" s="3" t="inlineStr">
        <is>
          <t>FLS活動の一環としては実施していない</t>
        </is>
      </c>
      <c r="AI185" s="3" t="inlineStr">
        <is>
          <t>下肢筋力強化, バランス練習, 歩行練習, 歩容改善, 起立、着座動作練習, 環境調整, 補助具、装具の適正化, 認知面への介入, 行動面への介入, 教育、指導</t>
        </is>
      </c>
    </row>
    <row r="186" ht="22.5" customHeight="1">
      <c r="A186" s="32" t="n">
        <v>46102.68104107639</v>
      </c>
      <c r="B186" s="3" t="inlineStr">
        <is>
          <t>三村史典</t>
        </is>
      </c>
      <c r="C186" s="3" t="inlineStr">
        <is>
          <t>医療法人松浦会　姫路第一病院</t>
        </is>
      </c>
      <c r="D186" s="3" t="inlineStr">
        <is>
          <t>兵庫県</t>
        </is>
      </c>
      <c r="E186" s="3" t="inlineStr">
        <is>
          <t>himeji.daiichi.reha@gmail.com</t>
        </is>
      </c>
      <c r="F186" s="3" t="inlineStr">
        <is>
          <t>リハビリテーション科／理学療法士</t>
        </is>
      </c>
      <c r="G186" s="3" t="n">
        <v>98</v>
      </c>
      <c r="H186" s="3" t="n">
        <v>8</v>
      </c>
      <c r="I186" s="3" t="n">
        <v>6</v>
      </c>
      <c r="J186" s="3" t="inlineStr">
        <is>
          <t>届け出をしておらず、検討もしていない</t>
        </is>
      </c>
      <c r="K186" s="3" t="inlineStr">
        <is>
          <t>関節可動域運動, 筋力増強運動, リラクセーション, ポジショニング</t>
        </is>
      </c>
      <c r="L186" s="3" t="inlineStr">
        <is>
          <t>全症例の25％〜49％程度</t>
        </is>
      </c>
      <c r="N186" s="3" t="inlineStr">
        <is>
          <t>全症例の0％〜24％程度</t>
        </is>
      </c>
      <c r="P186" s="3" t="inlineStr">
        <is>
          <t>全症例の0％〜24％程度</t>
        </is>
      </c>
      <c r="R186" s="3" t="inlineStr">
        <is>
          <t>全症例の0％〜24％程度</t>
        </is>
      </c>
      <c r="T186" s="3" t="inlineStr">
        <is>
          <t>握力, 開眼片脚立位時間, 下腿周径</t>
        </is>
      </c>
      <c r="V186" s="3" t="inlineStr">
        <is>
          <t>握力</t>
        </is>
      </c>
      <c r="X186" s="3" t="inlineStr">
        <is>
          <t>実施していない</t>
        </is>
      </c>
      <c r="Y186" s="3" t="inlineStr">
        <is>
          <t>該当症例なし</t>
        </is>
      </c>
      <c r="Z186" s="3" t="inlineStr">
        <is>
          <t>FIM</t>
        </is>
      </c>
      <c r="AB186" s="3" t="inlineStr">
        <is>
          <t>MMSE, HDS-R</t>
        </is>
      </c>
      <c r="AD186" s="3" t="inlineStr">
        <is>
          <t>実施していない</t>
        </is>
      </c>
      <c r="AE186" s="3" t="inlineStr">
        <is>
          <t>施設内での定義なし</t>
        </is>
      </c>
      <c r="AI186" s="3" t="inlineStr">
        <is>
          <t>下肢筋力強化, バランス練習, 歩行練習, 歩容改善, 起立、着座動作練習, 環境調整, 認知面への介入, 教育、指導</t>
        </is>
      </c>
    </row>
    <row r="187" ht="22.5" customHeight="1">
      <c r="A187" s="32" t="n">
        <v>46102.72346549769</v>
      </c>
      <c r="B187" s="3" t="inlineStr">
        <is>
          <t>奥山香奈</t>
        </is>
      </c>
      <c r="C187" s="3" t="inlineStr">
        <is>
          <t>京都済生会病院</t>
        </is>
      </c>
      <c r="D187" s="3" t="inlineStr">
        <is>
          <t>京都府</t>
        </is>
      </c>
      <c r="E187" s="3" t="inlineStr">
        <is>
          <t>10yurayura@gmail.com</t>
        </is>
      </c>
      <c r="F187" s="3" t="inlineStr">
        <is>
          <t>リハビリテーション科/理学療法士</t>
        </is>
      </c>
      <c r="G187" s="3" t="n">
        <v>118</v>
      </c>
      <c r="H187" s="3" t="n">
        <v>14</v>
      </c>
      <c r="I187" s="3" t="n">
        <v>2</v>
      </c>
      <c r="J187" s="3" t="inlineStr">
        <is>
          <t>届け出はしていないが、現在検討中である</t>
        </is>
      </c>
      <c r="K187" s="3" t="inlineStr">
        <is>
          <t>関節可動域運動, 筋力増強運動, DVT予防, ポジショニング, 自主運動指導, 術後リハビリテーションのオリエンテーション, 離床（例：車椅子移乗,立位,歩行など）</t>
        </is>
      </c>
      <c r="L187" s="3" t="inlineStr">
        <is>
          <t>全症例の0％〜24％程度</t>
        </is>
      </c>
      <c r="N187" s="3" t="inlineStr">
        <is>
          <t>全症例の0％〜24％程度</t>
        </is>
      </c>
      <c r="P187" s="3" t="inlineStr">
        <is>
          <t>全症例の0％〜24％程度</t>
        </is>
      </c>
      <c r="R187" s="3" t="inlineStr">
        <is>
          <t>全症例の0％〜24％程度</t>
        </is>
      </c>
      <c r="T187" s="3" t="inlineStr">
        <is>
          <t>膝伸展筋力, 開眼片脚立位時間</t>
        </is>
      </c>
      <c r="V187" s="3" t="inlineStr">
        <is>
          <t>実施していない</t>
        </is>
      </c>
      <c r="W187" s="3" t="inlineStr">
        <is>
          <t>フレイルの評価として特に決めているものはないため</t>
        </is>
      </c>
      <c r="X187" s="3" t="inlineStr">
        <is>
          <t>立ち上がりテスト</t>
        </is>
      </c>
      <c r="Z187" s="3" t="inlineStr">
        <is>
          <t>Barthel Index（BI）, FIM</t>
        </is>
      </c>
      <c r="AB187" s="3" t="inlineStr">
        <is>
          <t>MMSE, HDS-R</t>
        </is>
      </c>
      <c r="AD187" s="3" t="inlineStr">
        <is>
          <t>開眼片脚立位時間, 10m歩行速度, 過去の転倒歴, 既往疾患の有無（脳血管疾患、パーキンソン病など）</t>
        </is>
      </c>
      <c r="AF187" s="3" t="inlineStr">
        <is>
          <t>決まっていない</t>
        </is>
      </c>
      <c r="AH187" s="3" t="inlineStr">
        <is>
          <t>個々の患者にあわせて担当が決定しているため</t>
        </is>
      </c>
      <c r="AI187" s="3" t="inlineStr">
        <is>
          <t>下肢筋力強化, バランス練習, 歩行練習, 起立、着座動作練習, 環境調整</t>
        </is>
      </c>
    </row>
    <row r="188" ht="22.5" customHeight="1">
      <c r="A188" s="32" t="n">
        <v>46102.9755215162</v>
      </c>
      <c r="B188" s="3" t="inlineStr">
        <is>
          <t>岩岡　絵美</t>
        </is>
      </c>
      <c r="C188" s="3" t="inlineStr">
        <is>
          <t>株式会社日立製作所ひたちなか総合病院</t>
        </is>
      </c>
      <c r="D188" s="3" t="inlineStr">
        <is>
          <t>茨城県</t>
        </is>
      </c>
      <c r="E188" s="3" t="inlineStr">
        <is>
          <t>iwa1oka2@yahoo.co.jp</t>
        </is>
      </c>
      <c r="F188" s="3" t="inlineStr">
        <is>
          <t>リハビリテーション科　理学療法士</t>
        </is>
      </c>
      <c r="G188" s="3" t="n">
        <v>13</v>
      </c>
      <c r="H188" s="3" t="n">
        <v>6</v>
      </c>
      <c r="I188" s="3" t="n">
        <v>3</v>
      </c>
      <c r="J188" s="3" t="inlineStr">
        <is>
          <t>現在、算定している</t>
        </is>
      </c>
      <c r="K188" s="3" t="inlineStr">
        <is>
          <t>関節可動域運動, DVT予防, ポジショニング, 自主運動指導</t>
        </is>
      </c>
      <c r="L188" s="3" t="inlineStr">
        <is>
          <t>全症例の75％〜100％程度</t>
        </is>
      </c>
      <c r="M188" s="3" t="inlineStr">
        <is>
          <t>術後鎮痛薬投与</t>
        </is>
      </c>
      <c r="N188" s="3" t="inlineStr">
        <is>
          <t>全症例の0％〜24％程度</t>
        </is>
      </c>
      <c r="P188" s="3" t="inlineStr">
        <is>
          <t>全症例の0％〜24％程度</t>
        </is>
      </c>
      <c r="R188" s="3" t="inlineStr">
        <is>
          <t>全症例の0％〜24％程度</t>
        </is>
      </c>
      <c r="T188" s="3" t="inlineStr">
        <is>
          <t>握力, 歩行速度, SPPB, TUG, 開眼片脚立位時間, 骨格筋量指数（SMI）, 下腿周径</t>
        </is>
      </c>
      <c r="V188" s="3" t="inlineStr">
        <is>
          <t>TUG, 握力</t>
        </is>
      </c>
      <c r="X188" s="3" t="inlineStr">
        <is>
          <t>立ち上がりテスト, 2ステップテスト</t>
        </is>
      </c>
      <c r="Z188" s="3" t="inlineStr">
        <is>
          <t>Barthel Index（BI）</t>
        </is>
      </c>
      <c r="AB188" s="3" t="inlineStr">
        <is>
          <t>MMSE, HDS-R</t>
        </is>
      </c>
      <c r="AD188" s="3" t="inlineStr">
        <is>
          <t>TUG, 10m歩行速度, SPPB、Functional Reach Test（FRT）, 認知機能, せん妄, 過去の転倒歴, 既往疾患の有無（脳血管疾患、パーキンソン病など）, 薬剤（向精神薬、降圧薬、利尿薬、ポリファーマシーなど）, ベッド周囲および病室環境</t>
        </is>
      </c>
      <c r="AF188" s="3" t="inlineStr">
        <is>
          <t>決まっていない</t>
        </is>
      </c>
      <c r="AH188" s="3" t="inlineStr">
        <is>
          <t>術式や、入院前ADLにより回復過程が違うため。退院はどのように決めているか知りたい。</t>
        </is>
      </c>
      <c r="AI188" s="3" t="inlineStr">
        <is>
          <t>下肢筋力強化, バランス練習, 歩行練習, 歩容改善, 起立、着座動作練習, 環境調整, 補助具、装具の適正化, 認知面への介入, 行動面への介入</t>
        </is>
      </c>
    </row>
    <row r="189" ht="22.5" customHeight="1">
      <c r="A189" s="32" t="n">
        <v>46103.62474592592</v>
      </c>
      <c r="B189" s="3" t="inlineStr">
        <is>
          <t>長野　裕一</t>
        </is>
      </c>
      <c r="C189" s="3" t="inlineStr">
        <is>
          <t>遠賀中間医師会おんが病院</t>
        </is>
      </c>
      <c r="D189" s="3" t="inlineStr">
        <is>
          <t>福岡県</t>
        </is>
      </c>
      <c r="E189" s="3" t="inlineStr">
        <is>
          <t>leonkaeshou@yahoo.co.jp</t>
        </is>
      </c>
      <c r="F189" s="3" t="inlineStr">
        <is>
          <t>リハビリテーション科/理学療法士</t>
        </is>
      </c>
      <c r="G189" s="3" t="n">
        <v>64</v>
      </c>
      <c r="H189" s="3" t="n">
        <v>11</v>
      </c>
      <c r="I189" s="3" t="n">
        <v>4</v>
      </c>
      <c r="J189" s="3" t="inlineStr">
        <is>
          <t>届け出はしていないが、現在検討中である</t>
        </is>
      </c>
      <c r="K189" s="3" t="inlineStr">
        <is>
          <t>関節可動域運動, 筋力増強運動, DVT予防, リラクセーション, ポジショニング, 自主運動指導, 術後リハビリテーションのオリエンテーション, 離床（例：車椅子移乗,立位,歩行など）</t>
        </is>
      </c>
      <c r="L189" s="3" t="inlineStr">
        <is>
          <t>全症例の25％〜49％程度</t>
        </is>
      </c>
      <c r="N189" s="3" t="inlineStr">
        <is>
          <t>全症例の0％〜24％程度</t>
        </is>
      </c>
      <c r="P189" s="3" t="inlineStr">
        <is>
          <t>全症例の0％〜24％程度</t>
        </is>
      </c>
      <c r="R189" s="3" t="inlineStr">
        <is>
          <t>全症例の0％〜24％程度</t>
        </is>
      </c>
      <c r="T189" s="3" t="inlineStr">
        <is>
          <t>握力, 膝伸展筋力, 歩行速度, TUG</t>
        </is>
      </c>
      <c r="V189" s="3" t="inlineStr">
        <is>
          <t>TUG, 認知機能, 握力</t>
        </is>
      </c>
      <c r="X189" s="3" t="inlineStr">
        <is>
          <t>実施していない</t>
        </is>
      </c>
      <c r="Y189" s="3" t="inlineStr">
        <is>
          <t>急性期病院で術後２週間前後で転院となる。なので、立ち上がりテスト、②ステップテストは当院入院中に評価できる患者がいない。ロコモ25も身体機能が落ち着いてからするべきかと思う。</t>
        </is>
      </c>
      <c r="Z189" s="3" t="inlineStr">
        <is>
          <t>Barthel Index（BI）</t>
        </is>
      </c>
      <c r="AB189" s="3" t="inlineStr">
        <is>
          <t>HDS-R, AMTS</t>
        </is>
      </c>
      <c r="AD189" s="3" t="inlineStr">
        <is>
          <t>認知機能, 注意障害, 既往疾患の有無（脳血管疾患、パーキンソン病など）, 薬剤（向精神薬、降圧薬、利尿薬、ポリファーマシーなど）, ベッド周囲および病室環境</t>
        </is>
      </c>
      <c r="AF189" s="3" t="inlineStr">
        <is>
          <t>決まっている</t>
        </is>
      </c>
      <c r="AG189" s="3" t="inlineStr">
        <is>
          <t>術前にAMTS実施。薬剤は薬剤師が入院したら骨粗鬆症薬や転倒リスクが高くなる薬などをチェックするようにしている。</t>
        </is>
      </c>
      <c r="AI189" s="3" t="inlineStr">
        <is>
          <t>下肢筋力強化, バランス練習, 歩行練習, 歩容改善, 起立、着座動作練習, 環境調整, 補助具、装具の適正化, 薬剤調整, 教育、指導</t>
        </is>
      </c>
    </row>
    <row r="190" ht="22.5" customHeight="1">
      <c r="A190" s="32" t="n">
        <v>46103.709171875</v>
      </c>
      <c r="B190" s="3" t="inlineStr">
        <is>
          <t>鈴木　亮太</t>
        </is>
      </c>
      <c r="C190" s="3" t="inlineStr">
        <is>
          <t>日本鋼管福山病院</t>
        </is>
      </c>
      <c r="D190" s="3" t="inlineStr">
        <is>
          <t>広島県</t>
        </is>
      </c>
      <c r="E190" s="3" t="inlineStr">
        <is>
          <t>ryota_suzuki@nkfh.or.jp</t>
        </is>
      </c>
      <c r="F190" s="3" t="inlineStr">
        <is>
          <t>リハビリテーション科／作業療法士</t>
        </is>
      </c>
      <c r="G190" s="3" t="n">
        <v>120</v>
      </c>
      <c r="H190" s="3" t="n">
        <v>26</v>
      </c>
      <c r="I190" s="3" t="n">
        <v>10</v>
      </c>
      <c r="J190" s="3" t="inlineStr">
        <is>
          <t>現在、算定している</t>
        </is>
      </c>
      <c r="K190" s="3" t="inlineStr">
        <is>
          <t>筋力増強運動, リラクセーション, ポジショニング, 自主運動指導, 術後リハビリテーションのオリエンテーション</t>
        </is>
      </c>
      <c r="L190" s="3" t="inlineStr">
        <is>
          <t>全症例の50％〜74％程度</t>
        </is>
      </c>
      <c r="N190" s="3" t="inlineStr">
        <is>
          <t>全症例の50％〜74％程度</t>
        </is>
      </c>
      <c r="P190" s="3" t="inlineStr">
        <is>
          <t>全症例の0％〜24％程度</t>
        </is>
      </c>
      <c r="R190" s="3" t="inlineStr">
        <is>
          <t>全症例の0％〜24％程度</t>
        </is>
      </c>
      <c r="T190" s="3" t="inlineStr">
        <is>
          <t>膝伸展筋力, 歩行速度, TUG, 下腿周径</t>
        </is>
      </c>
      <c r="V190" s="3" t="inlineStr">
        <is>
          <t>TUG, 認知機能</t>
        </is>
      </c>
      <c r="X190" s="3" t="inlineStr">
        <is>
          <t>立ち上がりテスト, 2ステップテスト</t>
        </is>
      </c>
      <c r="Z190" s="3" t="inlineStr">
        <is>
          <t>FIM</t>
        </is>
      </c>
      <c r="AB190" s="3" t="inlineStr">
        <is>
          <t>AMTS</t>
        </is>
      </c>
      <c r="AD190" s="3" t="inlineStr">
        <is>
          <t>定量的な下肢筋力測定, TUG, 認知機能, 過去の転倒歴, 既往疾患の有無（脳血管疾患、パーキンソン病など）, ベッド周囲および病室環境</t>
        </is>
      </c>
      <c r="AF190" s="3" t="inlineStr">
        <is>
          <t>決まっている</t>
        </is>
      </c>
      <c r="AG190" s="3" t="inlineStr">
        <is>
          <t>術後2週に認知機能評価、術後4週に運動機能評価を行う。</t>
        </is>
      </c>
      <c r="AI190" s="3" t="inlineStr">
        <is>
          <t>下肢筋力強化, バランス練習, 歩行練習, 歩容改善, 起立、着座動作練習, 環境調整, 補助具、装具の適正化, 認知面への介入, 行動面への介入, 教育、指導</t>
        </is>
      </c>
    </row>
    <row r="191" ht="22.5" customHeight="1">
      <c r="A191" s="32" t="n">
        <v>46104.39073347222</v>
      </c>
      <c r="B191" s="3" t="inlineStr">
        <is>
          <t>渡邉洋昭</t>
        </is>
      </c>
      <c r="C191" s="3" t="inlineStr">
        <is>
          <t>足利赤十字病院</t>
        </is>
      </c>
      <c r="D191" s="3" t="inlineStr">
        <is>
          <t>栃木県</t>
        </is>
      </c>
      <c r="E191" s="3" t="inlineStr">
        <is>
          <t>rihabiri@ashikaga.jrc.or.jp</t>
        </is>
      </c>
      <c r="F191" s="3" t="inlineStr">
        <is>
          <t>リハビリテーション技術部</t>
        </is>
      </c>
      <c r="G191" s="3" t="n">
        <v>277</v>
      </c>
      <c r="H191" s="3" t="n">
        <v>4</v>
      </c>
      <c r="I191" s="3" t="n">
        <v>0</v>
      </c>
      <c r="J191" s="3" t="inlineStr">
        <is>
          <t>届け出をしておらず、検討もしていない</t>
        </is>
      </c>
      <c r="K191" s="3" t="inlineStr">
        <is>
          <t>筋力増強運動, 自主運動指導, 術後リハビリテーションのオリエンテーション, 離床（例：車椅子移乗,立位,歩行など）</t>
        </is>
      </c>
      <c r="L191" s="3" t="inlineStr">
        <is>
          <t>全症例の0％〜24％程度</t>
        </is>
      </c>
      <c r="N191" s="3" t="inlineStr">
        <is>
          <t>全症例の0％〜24％程度</t>
        </is>
      </c>
      <c r="P191" s="3" t="inlineStr">
        <is>
          <t>全症例の0％〜24％程度</t>
        </is>
      </c>
      <c r="R191" s="3" t="inlineStr">
        <is>
          <t>全症例の0％〜24％程度</t>
        </is>
      </c>
      <c r="T191" s="3" t="inlineStr">
        <is>
          <t>歩行速度, SPPB, 下腿周径</t>
        </is>
      </c>
      <c r="V191" s="3" t="inlineStr">
        <is>
          <t>認知機能</t>
        </is>
      </c>
      <c r="X191" s="3" t="inlineStr">
        <is>
          <t>実施していない</t>
        </is>
      </c>
      <c r="Y191" s="3" t="inlineStr">
        <is>
          <t>その他の評価を行っているため</t>
        </is>
      </c>
      <c r="Z191" s="3" t="inlineStr">
        <is>
          <t>Barthel Index（BI）</t>
        </is>
      </c>
      <c r="AB191" s="3" t="inlineStr">
        <is>
          <t>MMSE, HDS-R</t>
        </is>
      </c>
      <c r="AD191" s="3" t="inlineStr">
        <is>
          <t>SPPB、Functional Reach Test（FRT）, 認知機能, 過去の転倒歴</t>
        </is>
      </c>
      <c r="AF191" s="3" t="inlineStr">
        <is>
          <t>決まっていない</t>
        </is>
      </c>
      <c r="AH191" s="3" t="inlineStr">
        <is>
          <t>患者の動作能力により評価できるタイミングが変わるため</t>
        </is>
      </c>
      <c r="AI191" s="3" t="inlineStr">
        <is>
          <t>下肢筋力強化, バランス練習, 歩行練習, 歩容改善, 起立、着座動作練習, 環境調整, 補助具、装具の適正化, 認知面への介入, 行動面への介入, 教育、指導</t>
        </is>
      </c>
    </row>
    <row r="192" ht="22.5" customHeight="1">
      <c r="A192" s="32" t="n">
        <v>46104.4118140162</v>
      </c>
      <c r="B192" s="3" t="inlineStr">
        <is>
          <t>岡田　大希</t>
        </is>
      </c>
      <c r="C192" s="3" t="inlineStr">
        <is>
          <t>医療法人徳洲会　大垣徳洲会病院</t>
        </is>
      </c>
      <c r="D192" s="3" t="inlineStr">
        <is>
          <t>岐阜県</t>
        </is>
      </c>
      <c r="E192" s="3" t="inlineStr">
        <is>
          <t>hiroyasu.koide@tokushukai.jp</t>
        </is>
      </c>
      <c r="F192" s="3" t="inlineStr">
        <is>
          <t>リハビリテーション科/理学療法士</t>
        </is>
      </c>
      <c r="G192" s="3" t="n">
        <v>176</v>
      </c>
      <c r="H192" s="3" t="n">
        <v>14</v>
      </c>
      <c r="I192" s="3" t="n">
        <v>5</v>
      </c>
      <c r="J192" s="3" t="inlineStr">
        <is>
          <t>届け出はしていないが、現在検討中である</t>
        </is>
      </c>
      <c r="K192" s="3" t="inlineStr">
        <is>
          <t>ポジショニング, 術後リハビリテーションのオリエンテーション, 健側、患部外の機能評価</t>
        </is>
      </c>
      <c r="L192" s="3" t="inlineStr">
        <is>
          <t>全症例の75％〜100％程度</t>
        </is>
      </c>
      <c r="M192" s="3" t="inlineStr">
        <is>
          <t>補助具使用、介助料調整、リラクゼーション等</t>
        </is>
      </c>
      <c r="N192" s="3" t="inlineStr">
        <is>
          <t>全症例の0％〜24％程度</t>
        </is>
      </c>
      <c r="P192" s="3" t="inlineStr">
        <is>
          <t>全症例の0％〜24％程度</t>
        </is>
      </c>
      <c r="R192" s="3" t="inlineStr">
        <is>
          <t>全症例の0％〜24％程度</t>
        </is>
      </c>
      <c r="T192" s="3" t="inlineStr">
        <is>
          <t>歩行速度, TUG</t>
        </is>
      </c>
      <c r="V192" s="3" t="inlineStr">
        <is>
          <t>TUG, 認知機能</t>
        </is>
      </c>
      <c r="X192" s="3" t="inlineStr">
        <is>
          <t>実施していない</t>
        </is>
      </c>
      <c r="Z192" s="3" t="inlineStr">
        <is>
          <t>Barthel Index（BI）, FIM</t>
        </is>
      </c>
      <c r="AB192" s="3" t="inlineStr">
        <is>
          <t>MMSE, HDS-R, AMTS</t>
        </is>
      </c>
      <c r="AD192" s="3" t="inlineStr">
        <is>
          <t>TUG, 10m歩行速度, 認知機能</t>
        </is>
      </c>
      <c r="AF192" s="3" t="inlineStr">
        <is>
          <t>決まっていない</t>
        </is>
      </c>
      <c r="AH192" s="3" t="inlineStr">
        <is>
          <t>患者様の機能に応じて実施</t>
        </is>
      </c>
      <c r="AI192" s="3" t="inlineStr">
        <is>
          <t>下肢筋力強化, バランス練習, 歩行練習, 起立、着座動作練習, 補助具、装具の適正化</t>
        </is>
      </c>
    </row>
    <row r="193" ht="22.5" customHeight="1">
      <c r="A193" s="32" t="n">
        <v>46104.44401934028</v>
      </c>
      <c r="B193" s="3" t="inlineStr">
        <is>
          <t>雪岡　陽</t>
        </is>
      </c>
      <c r="C193" s="3" t="inlineStr">
        <is>
          <t>医療法人峰和会　鈴鹿回生病院</t>
        </is>
      </c>
      <c r="D193" s="3" t="inlineStr">
        <is>
          <t>三重県</t>
        </is>
      </c>
      <c r="E193" s="3" t="inlineStr">
        <is>
          <t>ychao0803@yahoo.co.jp</t>
        </is>
      </c>
      <c r="F193" s="3" t="inlineStr">
        <is>
          <t>リハビリテーション課/理学療法士</t>
        </is>
      </c>
      <c r="G193" s="3" t="n">
        <v>151</v>
      </c>
      <c r="H193" s="3" t="n">
        <v>12</v>
      </c>
      <c r="I193" s="3" t="n">
        <v>5</v>
      </c>
      <c r="J193" s="3" t="inlineStr">
        <is>
          <t>届け出はしていないが、現在検討中である</t>
        </is>
      </c>
      <c r="K193" s="3" t="inlineStr">
        <is>
          <t>筋力増強運動, DVT予防, ポジショニング</t>
        </is>
      </c>
      <c r="L193" s="3" t="inlineStr">
        <is>
          <t>全症例の50％〜74％程度</t>
        </is>
      </c>
      <c r="M193" s="3" t="inlineStr">
        <is>
          <t>服薬管理</t>
        </is>
      </c>
      <c r="N193" s="3" t="inlineStr">
        <is>
          <t>全症例の0％〜24％程度</t>
        </is>
      </c>
      <c r="P193" s="3" t="inlineStr">
        <is>
          <t>全症例の0％〜24％程度</t>
        </is>
      </c>
      <c r="R193" s="3" t="inlineStr">
        <is>
          <t>全症例の0％〜24％程度</t>
        </is>
      </c>
      <c r="T193" s="3" t="inlineStr">
        <is>
          <t>握力, 膝伸展筋力, 5回椅子立ち上がりテスト, 歩行速度, TUG, 開眼片脚立位時間, 下腿周径</t>
        </is>
      </c>
      <c r="V193" s="3" t="inlineStr">
        <is>
          <t>J-CHS基準, TUG, 認知機能, 握力</t>
        </is>
      </c>
      <c r="X193" s="3" t="inlineStr">
        <is>
          <t>立ち上がりテスト, 2ステップテスト, ロコモ25（質問票）</t>
        </is>
      </c>
      <c r="Z193" s="3" t="inlineStr">
        <is>
          <t>Barthel Index（BI）, FIM</t>
        </is>
      </c>
      <c r="AB193" s="3" t="inlineStr">
        <is>
          <t>MMSE, HDS-R</t>
        </is>
      </c>
      <c r="AD193" s="3" t="inlineStr">
        <is>
          <t>定量的な下肢筋力測定, 開眼片脚立位時間, TUG, 10m歩行速度, Berg Balance Scale（BBS）, 認知機能, 過去の転倒歴, ベッド周囲および病室環境</t>
        </is>
      </c>
      <c r="AF193" s="3" t="inlineStr">
        <is>
          <t>決まっていない</t>
        </is>
      </c>
      <c r="AI193" s="3" t="inlineStr">
        <is>
          <t>下肢筋力強化, バランス練習, 歩行練習, 歩容改善, 起立、着座動作練習, 環境調整, 補助具、装具の適正化, 行動面への介入, 教育、指導</t>
        </is>
      </c>
    </row>
    <row r="194" ht="22.5" customHeight="1">
      <c r="A194" s="32" t="n">
        <v>46104.45024363426</v>
      </c>
      <c r="B194" s="3" t="inlineStr">
        <is>
          <t>大矢　渉</t>
        </is>
      </c>
      <c r="C194" s="3" t="inlineStr">
        <is>
          <t>亀田第一病院</t>
        </is>
      </c>
      <c r="D194" s="3" t="inlineStr">
        <is>
          <t>新潟県</t>
        </is>
      </c>
      <c r="E194" s="3" t="inlineStr">
        <is>
          <t>rehab@ijn.or.jp</t>
        </is>
      </c>
      <c r="F194" s="3" t="inlineStr">
        <is>
          <t>リハビリテーション科　理学療法士</t>
        </is>
      </c>
      <c r="G194" s="3" t="n">
        <v>153</v>
      </c>
      <c r="H194" s="3" t="n">
        <v>19</v>
      </c>
      <c r="I194" s="3" t="n">
        <v>9</v>
      </c>
      <c r="J194" s="3" t="inlineStr">
        <is>
          <t>届け出をしておらず、検討もしていない</t>
        </is>
      </c>
      <c r="K194" s="3" t="inlineStr">
        <is>
          <t>実施していない</t>
        </is>
      </c>
      <c r="L194" s="3" t="inlineStr">
        <is>
          <t>全症例の50％〜74％程度</t>
        </is>
      </c>
      <c r="N194" s="3" t="inlineStr">
        <is>
          <t>全症例の25％〜49％程度</t>
        </is>
      </c>
      <c r="P194" s="3" t="inlineStr">
        <is>
          <t>全症例の0％〜24％程度</t>
        </is>
      </c>
      <c r="R194" s="3" t="inlineStr">
        <is>
          <t>全症例の0％〜24％程度</t>
        </is>
      </c>
      <c r="T194" s="3" t="inlineStr">
        <is>
          <t>実施していない</t>
        </is>
      </c>
      <c r="V194" s="3" t="inlineStr">
        <is>
          <t>実施していない</t>
        </is>
      </c>
      <c r="X194" s="3" t="inlineStr">
        <is>
          <t>実施していない</t>
        </is>
      </c>
      <c r="Z194" s="3" t="inlineStr">
        <is>
          <t>Barthel Index（BI）</t>
        </is>
      </c>
      <c r="AB194" s="3" t="inlineStr">
        <is>
          <t>HDS-R</t>
        </is>
      </c>
      <c r="AD194" s="3" t="inlineStr">
        <is>
          <t>TUG, 5回椅子立ち上がりテスト</t>
        </is>
      </c>
      <c r="AI194" s="3" t="inlineStr">
        <is>
          <t>下肢筋力強化, バランス練習, 起立、着座動作練習, 環境調整</t>
        </is>
      </c>
    </row>
    <row r="195" ht="22.5" customHeight="1">
      <c r="A195" s="32" t="n">
        <v>46104.45667629629</v>
      </c>
      <c r="B195" s="3" t="inlineStr">
        <is>
          <t>當間智史</t>
        </is>
      </c>
      <c r="C195" s="3" t="inlineStr">
        <is>
          <t>社会医療法人敬愛会　中頭病院</t>
        </is>
      </c>
      <c r="D195" s="3" t="inlineStr">
        <is>
          <t>沖縄県</t>
        </is>
      </c>
      <c r="E195" s="3" t="inlineStr">
        <is>
          <t>s.touma1979@gmail.com</t>
        </is>
      </c>
      <c r="F195" s="3" t="inlineStr">
        <is>
          <t>リハビリテーションぶ／理学療法士</t>
        </is>
      </c>
      <c r="G195" s="3" t="n">
        <v>275</v>
      </c>
      <c r="H195" s="3" t="n">
        <v>7</v>
      </c>
      <c r="I195" s="3" t="n">
        <v>3</v>
      </c>
      <c r="J195" s="3" t="inlineStr">
        <is>
          <t>現在、算定している</t>
        </is>
      </c>
      <c r="K195" s="3" t="inlineStr">
        <is>
          <t>関節可動域運動, 筋力増強運動, 呼吸リハビリテーション, DVT予防, リラクセーション, ポジショニング, 自主運動指導, 術後リハビリテーションのオリエンテーション, 離床（例：車椅子移乗,立位,歩行など）, AMTS</t>
        </is>
      </c>
      <c r="L195" s="3" t="inlineStr">
        <is>
          <t>全症例の0％〜24％程度</t>
        </is>
      </c>
      <c r="N195" s="3" t="inlineStr">
        <is>
          <t>全症例の0％〜24％程度</t>
        </is>
      </c>
      <c r="P195" s="3" t="inlineStr">
        <is>
          <t>全症例の0％〜24％程度</t>
        </is>
      </c>
      <c r="R195" s="3" t="inlineStr">
        <is>
          <t>全症例の0％〜24％程度</t>
        </is>
      </c>
      <c r="T195" s="3" t="inlineStr">
        <is>
          <t>実施していない</t>
        </is>
      </c>
      <c r="U195" s="3" t="inlineStr">
        <is>
          <t>業務として標準化されておらず、個人の判断で握力や膝伸展筋力、TUGを計測している。</t>
        </is>
      </c>
      <c r="V195" s="3" t="inlineStr">
        <is>
          <t>実施していない</t>
        </is>
      </c>
      <c r="W195" s="3" t="inlineStr">
        <is>
          <t>業務として標準化されておらず、実施していない。</t>
        </is>
      </c>
      <c r="X195" s="3" t="inlineStr">
        <is>
          <t>実施していない</t>
        </is>
      </c>
      <c r="Y195" s="3" t="inlineStr">
        <is>
          <t>業務として標準化されておらず、実施していない。</t>
        </is>
      </c>
      <c r="Z195" s="3" t="inlineStr">
        <is>
          <t>Barthel Index（BI）, FIM</t>
        </is>
      </c>
      <c r="AB195" s="3" t="inlineStr">
        <is>
          <t>MMSE, HDS-R, AMTS</t>
        </is>
      </c>
      <c r="AD195" s="3" t="inlineStr">
        <is>
          <t>実施していない</t>
        </is>
      </c>
      <c r="AE195" s="3" t="inlineStr">
        <is>
          <t>施設内で取り決めされていない。</t>
        </is>
      </c>
      <c r="AI195" s="3" t="inlineStr">
        <is>
          <t>下肢筋力強化, バランス練習, 歩行練習, 歩容改善, 起立、着座動作練習, 環境調整, 補助具、装具の適正化, 認知面への介入, 行動面への介入, 薬剤調整, 教育、指導</t>
        </is>
      </c>
    </row>
    <row r="196" ht="22.5" customHeight="1">
      <c r="A196" s="32" t="n">
        <v>46104.4653453588</v>
      </c>
      <c r="B196" s="3" t="inlineStr">
        <is>
          <t>吉川　祐樹</t>
        </is>
      </c>
      <c r="C196" s="3" t="inlineStr">
        <is>
          <t>社会福祉法人北海道社会事業協会帯広病院</t>
        </is>
      </c>
      <c r="D196" s="3" t="inlineStr">
        <is>
          <t>北海道</t>
        </is>
      </c>
      <c r="E196" s="3" t="inlineStr">
        <is>
          <t>y-kichikawa@obihiro-kyokai-hsp.jp</t>
        </is>
      </c>
      <c r="F196" s="3" t="inlineStr">
        <is>
          <t>リハビリテーション科/理学療法士</t>
        </is>
      </c>
      <c r="G196" s="3" t="n">
        <v>49</v>
      </c>
      <c r="H196" s="3" t="n">
        <v>9</v>
      </c>
      <c r="I196" s="3" t="n">
        <v>3</v>
      </c>
      <c r="J196" s="3" t="inlineStr">
        <is>
          <t>届け出をしておらず、検討もしていない</t>
        </is>
      </c>
      <c r="K196" s="3" t="inlineStr">
        <is>
          <t>関節可動域運動, 筋力増強運動, 呼吸リハビリテーション, リラクセーション, ポジショニング, 術後リハビリテーションのオリエンテーション</t>
        </is>
      </c>
      <c r="L196" s="3" t="inlineStr">
        <is>
          <t>全症例の50％〜74％程度</t>
        </is>
      </c>
      <c r="M196" s="3" t="inlineStr">
        <is>
          <t>浮腫管理、リラクゼーション、ポジショニング</t>
        </is>
      </c>
      <c r="N196" s="3" t="inlineStr">
        <is>
          <t>全症例の0％〜24％程度</t>
        </is>
      </c>
      <c r="P196" s="3" t="inlineStr">
        <is>
          <t>全症例の0％〜24％程度</t>
        </is>
      </c>
      <c r="R196" s="3" t="inlineStr">
        <is>
          <t>全症例の0％〜24％程度</t>
        </is>
      </c>
      <c r="T196" s="3" t="inlineStr">
        <is>
          <t>下腿周径</t>
        </is>
      </c>
      <c r="V196" s="3" t="inlineStr">
        <is>
          <t>実施していない</t>
        </is>
      </c>
      <c r="W196" s="3" t="inlineStr">
        <is>
          <t>フレイル目的で評価していない為、実際は実施している項目あり</t>
        </is>
      </c>
      <c r="X196" s="3" t="inlineStr">
        <is>
          <t>実施していない</t>
        </is>
      </c>
      <c r="Y196" s="3" t="inlineStr">
        <is>
          <t>ロコモティブシンドローム目的で実施はしていない為</t>
        </is>
      </c>
      <c r="Z196" s="3" t="inlineStr">
        <is>
          <t>Barthel Index（BI）</t>
        </is>
      </c>
      <c r="AB196" s="3" t="inlineStr">
        <is>
          <t>MMSE, HDS-R</t>
        </is>
      </c>
      <c r="AD196" s="3" t="inlineStr">
        <is>
          <t>実施していない</t>
        </is>
      </c>
      <c r="AE196" s="3" t="inlineStr">
        <is>
          <t>FLS活動の一環として実施しているわけではない。実施項目は該当するものあり。</t>
        </is>
      </c>
      <c r="AI196" s="3" t="inlineStr">
        <is>
          <t>下肢筋力強化, バランス練習, 歩行練習, 歩容改善, 起立、着座動作練習, 認知面への介入, 教育、指導</t>
        </is>
      </c>
    </row>
    <row r="197" ht="22.5" customHeight="1">
      <c r="A197" s="32" t="n">
        <v>46104.47114998843</v>
      </c>
      <c r="B197" s="3" t="inlineStr">
        <is>
          <t>飯田美智子</t>
        </is>
      </c>
      <c r="C197" s="3" t="inlineStr">
        <is>
          <t>広島県厚生農業協同組合連合会広島総合病院</t>
        </is>
      </c>
      <c r="D197" s="3" t="inlineStr">
        <is>
          <t>広島県</t>
        </is>
      </c>
      <c r="E197" s="3" t="inlineStr">
        <is>
          <t>to.honma@hirokouren.or.jp</t>
        </is>
      </c>
      <c r="F197" s="3" t="inlineStr">
        <is>
          <t>リハビリテーション科／理学療法士</t>
        </is>
      </c>
      <c r="G197" s="3" t="n">
        <v>149</v>
      </c>
      <c r="H197" s="3" t="n">
        <v>14</v>
      </c>
      <c r="I197" s="3" t="n">
        <v>3</v>
      </c>
      <c r="J197" s="3" t="inlineStr">
        <is>
          <t>届け出はしていないが、現在検討中である</t>
        </is>
      </c>
      <c r="K197" s="3" t="inlineStr">
        <is>
          <t>関節可動域運動, 筋力増強運動, 自主運動指導, 離床（例：車椅子移乗,立位,歩行など）</t>
        </is>
      </c>
      <c r="L197" s="3" t="inlineStr">
        <is>
          <t>全症例の0％〜24％程度</t>
        </is>
      </c>
      <c r="N197" s="3" t="inlineStr">
        <is>
          <t>全症例の0％〜24％程度</t>
        </is>
      </c>
      <c r="P197" s="3" t="inlineStr">
        <is>
          <t>全症例の0％〜24％程度</t>
        </is>
      </c>
      <c r="R197" s="3" t="inlineStr">
        <is>
          <t>全症例の0％〜24％程度</t>
        </is>
      </c>
      <c r="T197" s="3" t="inlineStr">
        <is>
          <t>実施していない</t>
        </is>
      </c>
      <c r="V197" s="3" t="inlineStr">
        <is>
          <t>実施していない</t>
        </is>
      </c>
      <c r="X197" s="3" t="inlineStr">
        <is>
          <t>実施していない</t>
        </is>
      </c>
      <c r="Z197" s="3" t="inlineStr">
        <is>
          <t>Barthel Index（BI）, FIM</t>
        </is>
      </c>
      <c r="AB197" s="3" t="inlineStr">
        <is>
          <t>MMSE, MoCA, 患者の状態によっては行う</t>
        </is>
      </c>
      <c r="AD197" s="3" t="inlineStr">
        <is>
          <t>実施していない</t>
        </is>
      </c>
      <c r="AE197" s="3" t="inlineStr">
        <is>
          <t>理由なし</t>
        </is>
      </c>
      <c r="AI197" s="3" t="inlineStr">
        <is>
          <t>環境調整, 補助具、装具の適正化, 教育、指導</t>
        </is>
      </c>
    </row>
    <row r="198" ht="22.5" customHeight="1">
      <c r="A198" s="32" t="n">
        <v>46104.4845206713</v>
      </c>
      <c r="B198" s="3" t="inlineStr">
        <is>
          <t>田口嘉一</t>
        </is>
      </c>
      <c r="C198" s="3" t="inlineStr">
        <is>
          <t>徳島赤十字病院</t>
        </is>
      </c>
      <c r="D198" s="3" t="inlineStr">
        <is>
          <t>徳島県</t>
        </is>
      </c>
      <c r="E198" s="3" t="inlineStr">
        <is>
          <t>reha@tokushima-med.jrc.or.jp</t>
        </is>
      </c>
      <c r="G198" s="3" t="n">
        <v>142</v>
      </c>
      <c r="H198" s="3" t="n">
        <v>16</v>
      </c>
      <c r="I198" s="3" t="n">
        <v>4</v>
      </c>
      <c r="J198" s="3" t="inlineStr">
        <is>
          <t>届け出をしておらず、検討もしていない</t>
        </is>
      </c>
      <c r="K198" s="3" t="inlineStr">
        <is>
          <t>関節可動域運動, 筋力増強運動, DVT予防, ポジショニング, 自主運動指導, 術後リハビリテーションのオリエンテーション</t>
        </is>
      </c>
      <c r="L198" s="3" t="inlineStr">
        <is>
          <t>全症例の50％〜74％程度</t>
        </is>
      </c>
      <c r="M198" s="3" t="inlineStr">
        <is>
          <t>療法士が体重を支える。鎮痛薬使用。</t>
        </is>
      </c>
      <c r="N198" s="3" t="inlineStr">
        <is>
          <t>全症例の25％〜49％程度</t>
        </is>
      </c>
      <c r="O198" s="3" t="inlineStr">
        <is>
          <t>細かな説明と声掛け</t>
        </is>
      </c>
      <c r="P198" s="3" t="inlineStr">
        <is>
          <t>全症例の25％〜49％程度</t>
        </is>
      </c>
      <c r="R198" s="3" t="inlineStr">
        <is>
          <t>全症例の0％〜24％程度</t>
        </is>
      </c>
      <c r="T198" s="3" t="inlineStr">
        <is>
          <t>握力, 膝伸展筋力, 5回椅子立ち上がりテスト, 歩行速度, SPPB, TUG, 6分間歩行距離, 骨格筋量指数（SMI）, 下腿周径</t>
        </is>
      </c>
      <c r="V198" s="3" t="inlineStr">
        <is>
          <t>Frailty Index（累積欠損モデル）, TUG, 6分間歩行距離, 握力</t>
        </is>
      </c>
      <c r="X198" s="3" t="inlineStr">
        <is>
          <t>立ち上がりテスト</t>
        </is>
      </c>
      <c r="Z198" s="3" t="inlineStr">
        <is>
          <t>Barthel Index（BI）</t>
        </is>
      </c>
      <c r="AB198" s="3" t="inlineStr">
        <is>
          <t>MMSE, HDS-R, MoCA</t>
        </is>
      </c>
      <c r="AD198" s="3" t="inlineStr">
        <is>
          <t>過去の転倒歴</t>
        </is>
      </c>
      <c r="AF198" s="3" t="inlineStr">
        <is>
          <t>決まっていない</t>
        </is>
      </c>
      <c r="AH198" s="3" t="inlineStr">
        <is>
          <t>統一されていない</t>
        </is>
      </c>
      <c r="AI198" s="3" t="inlineStr">
        <is>
          <t>下肢筋力強化, バランス練習, 歩行練習, 起立、着座動作練習, 環境調整, 補助具、装具の適正化, 認知面への介入</t>
        </is>
      </c>
    </row>
    <row r="199" ht="22.5" customHeight="1">
      <c r="A199" s="32" t="n">
        <v>46104.49736945602</v>
      </c>
      <c r="B199" s="3" t="inlineStr">
        <is>
          <t>近藤佳祐</t>
        </is>
      </c>
      <c r="C199" s="3" t="inlineStr">
        <is>
          <t>医療法人眞幸会　草加松原整形外科医院</t>
        </is>
      </c>
      <c r="D199" s="3" t="inlineStr">
        <is>
          <t>埼玉県</t>
        </is>
      </c>
      <c r="E199" s="3" t="inlineStr">
        <is>
          <t>soumatsu.reha@shinko-kai.or.jp</t>
        </is>
      </c>
      <c r="F199" s="3" t="inlineStr">
        <is>
          <t>リハビリテーション科/理学療法士</t>
        </is>
      </c>
      <c r="G199" s="3" t="n">
        <v>68</v>
      </c>
      <c r="H199" s="3" t="n">
        <v>2</v>
      </c>
      <c r="I199" s="3" t="n">
        <v>0</v>
      </c>
      <c r="J199" s="3" t="inlineStr">
        <is>
          <t>届け出をしておらず、検討もしていない</t>
        </is>
      </c>
      <c r="K199" s="3" t="inlineStr">
        <is>
          <t>関節可動域運動, 筋力増強運動, DVT予防, ポジショニング, 離床（例：車椅子移乗,立位,歩行など）</t>
        </is>
      </c>
      <c r="L199" s="3" t="inlineStr">
        <is>
          <t>全症例の50％〜74％程度</t>
        </is>
      </c>
      <c r="M199" s="3" t="inlineStr">
        <is>
          <t>早期座位指導、トイレ移乗での立位訓練</t>
        </is>
      </c>
      <c r="N199" s="3" t="inlineStr">
        <is>
          <t>全症例の0％〜24％程度</t>
        </is>
      </c>
      <c r="P199" s="3" t="inlineStr">
        <is>
          <t>全症例の0％〜24％程度</t>
        </is>
      </c>
      <c r="R199" s="3" t="inlineStr">
        <is>
          <t>全症例の0％〜24％程度</t>
        </is>
      </c>
      <c r="T199" s="3" t="inlineStr">
        <is>
          <t>膝伸展筋力, 5回椅子立ち上がりテスト, 歩行速度, 骨格筋量指数（SMI）</t>
        </is>
      </c>
      <c r="V199" s="3" t="inlineStr">
        <is>
          <t>TUG, 認知機能, 抑うつや意欲低下</t>
        </is>
      </c>
      <c r="X199" s="3" t="inlineStr">
        <is>
          <t>実施していない</t>
        </is>
      </c>
      <c r="Y199" s="3" t="inlineStr">
        <is>
          <t>当院の評価バッテリーに含まれていない</t>
        </is>
      </c>
      <c r="Z199" s="3" t="inlineStr">
        <is>
          <t>FIM</t>
        </is>
      </c>
      <c r="AB199" s="3" t="inlineStr">
        <is>
          <t>HDS-R</t>
        </is>
      </c>
      <c r="AD199" s="3" t="inlineStr">
        <is>
          <t>定量的な下肢筋力測定, TUG, 認知機能, せん妄, 過去の転倒歴, 既往疾患の有無（脳血管疾患、パーキンソン病など）, 薬剤（向精神薬、降圧薬、利尿薬、ポリファーマシーなど）, ベッド周囲および病室環境</t>
        </is>
      </c>
      <c r="AF199" s="3" t="inlineStr">
        <is>
          <t>決まっている</t>
        </is>
      </c>
      <c r="AG199" s="3" t="inlineStr">
        <is>
          <t>認知機能、転倒歴、既往の有無は入院時　　他は必要に応じ随時評価を実施している</t>
        </is>
      </c>
      <c r="AI199" s="3" t="inlineStr">
        <is>
          <t>下肢筋力強化, バランス練習, 歩行練習, 歩容改善, 起立、着座動作練習, 環境調整, 補助具、装具の適正化, 認知面への介入, 薬剤調整, 教育、指導</t>
        </is>
      </c>
    </row>
    <row r="200" ht="22.5" customHeight="1">
      <c r="A200" s="32" t="n">
        <v>46104.50838196759</v>
      </c>
      <c r="B200" s="3" t="inlineStr">
        <is>
          <t>吉田　真希</t>
        </is>
      </c>
      <c r="C200" s="3" t="inlineStr">
        <is>
          <t>東京都立荏原病院</t>
        </is>
      </c>
      <c r="D200" s="3" t="inlineStr">
        <is>
          <t>東京都</t>
        </is>
      </c>
      <c r="E200" s="3" t="inlineStr">
        <is>
          <t>maki_yoshida@tmhp.jp</t>
        </is>
      </c>
      <c r="F200" s="3" t="inlineStr">
        <is>
          <t>リハビリテーション科　理学療法士</t>
        </is>
      </c>
      <c r="G200" s="3" t="n">
        <v>170</v>
      </c>
      <c r="H200" s="3" t="n">
        <v>11</v>
      </c>
      <c r="I200" s="3" t="n">
        <v>5</v>
      </c>
      <c r="J200" s="3" t="inlineStr">
        <is>
          <t>届け出をしておらず、検討もしていない</t>
        </is>
      </c>
      <c r="K200" s="3" t="inlineStr">
        <is>
          <t>関節可動域運動, 筋力増強運動, 呼吸リハビリテーション, DVT予防, リラクセーション, ポジショニング, 自主運動指導, 術後リハビリテーションのオリエンテーション, 離床（例：車椅子移乗,立位,歩行など）</t>
        </is>
      </c>
      <c r="L200" s="3" t="inlineStr">
        <is>
          <t>全症例の25％〜49％程度</t>
        </is>
      </c>
      <c r="N200" s="3" t="inlineStr">
        <is>
          <t>全症例の0％〜24％程度</t>
        </is>
      </c>
      <c r="P200" s="3" t="inlineStr">
        <is>
          <t>全症例の0％〜24％程度</t>
        </is>
      </c>
      <c r="R200" s="3" t="inlineStr">
        <is>
          <t>全症例の0％〜24％程度</t>
        </is>
      </c>
      <c r="T200" s="3" t="inlineStr">
        <is>
          <t>握力, 歩行速度</t>
        </is>
      </c>
      <c r="V200" s="3" t="inlineStr">
        <is>
          <t>握力</t>
        </is>
      </c>
      <c r="X200" s="3" t="inlineStr">
        <is>
          <t>実施していない</t>
        </is>
      </c>
      <c r="Y200" s="3" t="inlineStr">
        <is>
          <t>上記評価を行える患者が少ないため。</t>
        </is>
      </c>
      <c r="Z200" s="3" t="inlineStr">
        <is>
          <t>FIM</t>
        </is>
      </c>
      <c r="AB200" s="3" t="inlineStr">
        <is>
          <t>実施していない</t>
        </is>
      </c>
      <c r="AC200" s="3" t="inlineStr">
        <is>
          <t>看護師がAMTSを評価しているため。</t>
        </is>
      </c>
      <c r="AD200" s="3" t="inlineStr">
        <is>
          <t>10m歩行速度, 握力</t>
        </is>
      </c>
      <c r="AF200" s="3" t="inlineStr">
        <is>
          <t>決まっていない</t>
        </is>
      </c>
      <c r="AH200" s="3" t="inlineStr">
        <is>
          <t>入院期間が患者により変動すること、評価可能な時期に差があることから。</t>
        </is>
      </c>
      <c r="AI200" s="3" t="inlineStr">
        <is>
          <t>下肢筋力強化, バランス練習, 歩行練習, 歩容改善, 起立、着座動作練習, 環境調整, 補助具、装具の適正化, 認知面への介入, 行動面への介入, 教育、指導</t>
        </is>
      </c>
    </row>
    <row r="201" ht="22.5" customHeight="1">
      <c r="A201" s="32" t="n">
        <v>46104.53829297454</v>
      </c>
      <c r="B201" s="3" t="inlineStr">
        <is>
          <t>宇野晃輔</t>
        </is>
      </c>
      <c r="C201" s="3" t="inlineStr">
        <is>
          <t>宇城総合病院</t>
        </is>
      </c>
      <c r="D201" s="3" t="inlineStr">
        <is>
          <t>熊本県</t>
        </is>
      </c>
      <c r="E201" s="3" t="inlineStr">
        <is>
          <t>ukisogo-pt@reimeikai.jp</t>
        </is>
      </c>
      <c r="F201" s="3" t="inlineStr">
        <is>
          <t>リハビリテーション部／理学療法士</t>
        </is>
      </c>
      <c r="G201" s="3" t="n">
        <v>255</v>
      </c>
      <c r="H201" s="3" t="n">
        <v>32</v>
      </c>
      <c r="I201" s="3" t="n">
        <v>19</v>
      </c>
      <c r="J201" s="3" t="inlineStr">
        <is>
          <t>届け出はしていないが、現在検討中である</t>
        </is>
      </c>
      <c r="K201" s="3" t="inlineStr">
        <is>
          <t>関節可動域運動, 筋力増強運動, 呼吸リハビリテーション, DVT予防, 術後リハビリテーションのオリエンテーション</t>
        </is>
      </c>
      <c r="L201" s="3" t="inlineStr">
        <is>
          <t>全症例の50％〜74％程度</t>
        </is>
      </c>
      <c r="M201" s="3" t="inlineStr">
        <is>
          <t>アイシング、疼痛が少ない動作介助</t>
        </is>
      </c>
      <c r="N201" s="3" t="inlineStr">
        <is>
          <t>全症例の25％〜49％程度</t>
        </is>
      </c>
      <c r="O201" s="3" t="inlineStr">
        <is>
          <t>回答なし</t>
        </is>
      </c>
      <c r="P201" s="3" t="inlineStr">
        <is>
          <t>全症例の0％〜24％程度</t>
        </is>
      </c>
      <c r="Q201" s="3" t="inlineStr">
        <is>
          <t>回答なし</t>
        </is>
      </c>
      <c r="R201" s="3" t="inlineStr">
        <is>
          <t>全症例の0％〜24％程度</t>
        </is>
      </c>
      <c r="S201" s="3" t="inlineStr">
        <is>
          <t>回答なし</t>
        </is>
      </c>
      <c r="T201" s="3" t="inlineStr">
        <is>
          <t>握力, 膝伸展筋力, 5回椅子立ち上がりテスト, 歩行速度, SPPB, TUG, 6分間歩行距離, 開眼片脚立位時間, 下腿周径</t>
        </is>
      </c>
      <c r="U201" s="3" t="inlineStr">
        <is>
          <t>回答なし</t>
        </is>
      </c>
      <c r="V201" s="3" t="inlineStr">
        <is>
          <t>TUG</t>
        </is>
      </c>
      <c r="W201" s="3" t="inlineStr">
        <is>
          <t>回答なし</t>
        </is>
      </c>
      <c r="X201" s="3" t="inlineStr">
        <is>
          <t>実施していない</t>
        </is>
      </c>
      <c r="Y201" s="3" t="inlineStr">
        <is>
          <t>急性期、高齢で実施が難しい患者が多い為</t>
        </is>
      </c>
      <c r="Z201" s="3" t="inlineStr">
        <is>
          <t>Barthel Index（BI）, FIM</t>
        </is>
      </c>
      <c r="AA201" s="3" t="inlineStr">
        <is>
          <t>回答なし</t>
        </is>
      </c>
      <c r="AB201" s="3" t="inlineStr">
        <is>
          <t>MMSE, HDS-R, AMTS</t>
        </is>
      </c>
      <c r="AC201" s="3" t="inlineStr">
        <is>
          <t>回答なし</t>
        </is>
      </c>
      <c r="AD201" s="3" t="inlineStr">
        <is>
          <t>実施していない</t>
        </is>
      </c>
      <c r="AE201" s="3" t="inlineStr">
        <is>
          <t>定めていないが、各個人の判断で適宜実施している</t>
        </is>
      </c>
      <c r="AF201" s="3" t="inlineStr">
        <is>
          <t>わからない</t>
        </is>
      </c>
      <c r="AG201" s="3" t="inlineStr">
        <is>
          <t>回答なし</t>
        </is>
      </c>
      <c r="AH201" s="3" t="inlineStr">
        <is>
          <t>患者の状態に幅があり、統一した運動評価が難しい。全スタッフの理解が十分に得られない</t>
        </is>
      </c>
      <c r="AI201" s="3" t="inlineStr">
        <is>
          <t>下肢筋力強化, バランス練習, 歩行練習, 歩容改善, 起立、着座動作練習, 環境調整, 補助具、装具の適正化, 認知面への介入, 行動面への介入, 教育、指導</t>
        </is>
      </c>
      <c r="AJ201" s="3" t="inlineStr">
        <is>
          <t>回答なし</t>
        </is>
      </c>
    </row>
    <row r="202" ht="22.5" customHeight="1">
      <c r="A202" s="32" t="n">
        <v>46104.57438613426</v>
      </c>
      <c r="B202" s="3" t="inlineStr">
        <is>
          <t>大場　裕之</t>
        </is>
      </c>
      <c r="C202" s="3" t="inlineStr">
        <is>
          <t>医療法人慧明会　貞松病院</t>
        </is>
      </c>
      <c r="D202" s="3" t="inlineStr">
        <is>
          <t>長崎県</t>
        </is>
      </c>
      <c r="E202" s="3" t="inlineStr">
        <is>
          <t>ooba0715@yahoo.co.jp</t>
        </is>
      </c>
      <c r="F202" s="3" t="inlineStr">
        <is>
          <t>リハビリテーション科／理学療法士</t>
        </is>
      </c>
      <c r="G202" s="3" t="n">
        <v>73</v>
      </c>
      <c r="H202" s="3" t="n">
        <v>28</v>
      </c>
      <c r="I202" s="3" t="n">
        <v>10</v>
      </c>
      <c r="J202" s="3" t="inlineStr">
        <is>
          <t>届け出をしておらず、検討もしていない</t>
        </is>
      </c>
      <c r="K202" s="3" t="inlineStr">
        <is>
          <t>関節可動域運動, 筋力増強運動, 呼吸リハビリテーション, DVT予防, ポジショニング, 自主運動指導, 術後リハビリテーションのオリエンテーション</t>
        </is>
      </c>
      <c r="L202" s="3" t="inlineStr">
        <is>
          <t>全症例の0％〜24％程度</t>
        </is>
      </c>
      <c r="N202" s="3" t="inlineStr">
        <is>
          <t>全症例の0％〜24％程度</t>
        </is>
      </c>
      <c r="P202" s="3" t="inlineStr">
        <is>
          <t>全症例の0％〜24％程度</t>
        </is>
      </c>
      <c r="R202" s="3" t="inlineStr">
        <is>
          <t>全症例の0％〜24％程度</t>
        </is>
      </c>
      <c r="T202" s="3" t="inlineStr">
        <is>
          <t>実施していない</t>
        </is>
      </c>
      <c r="U202" s="3" t="inlineStr">
        <is>
          <t>個人で実施しているスタッフはいるが、病院としてはリハ算定できる項目ではない為取り組んでいない</t>
        </is>
      </c>
      <c r="V202" s="3" t="inlineStr">
        <is>
          <t>実施していない</t>
        </is>
      </c>
      <c r="W202" s="3" t="inlineStr">
        <is>
          <t>病院としてリハ算定対象ではないため実施していない</t>
        </is>
      </c>
      <c r="X202" s="3" t="inlineStr">
        <is>
          <t>実施していない</t>
        </is>
      </c>
      <c r="Y202" s="3" t="inlineStr">
        <is>
          <t>リハ算定できる疾患ではない為</t>
        </is>
      </c>
      <c r="Z202" s="3" t="inlineStr">
        <is>
          <t>FIM</t>
        </is>
      </c>
      <c r="AB202" s="3" t="inlineStr">
        <is>
          <t>HDS-R, AMTS</t>
        </is>
      </c>
      <c r="AD202" s="3" t="inlineStr">
        <is>
          <t>実施していない</t>
        </is>
      </c>
      <c r="AE202" s="3" t="inlineStr">
        <is>
          <t>各スタッフ理学療法としての評価は実施しているがＦＬＳの一環としては実施していない。ＦＬＳとしては患者教育（再発予防）を実施している。</t>
        </is>
      </c>
      <c r="AI202" s="3" t="inlineStr">
        <is>
          <t>下肢筋力強化, バランス練習, 歩行練習, 起立、着座動作練習, 環境調整, 補助具、装具の適正化, 認知面への介入, 行動面への介入, 教育、指導</t>
        </is>
      </c>
    </row>
    <row r="203" ht="22.5" customHeight="1">
      <c r="A203" s="32" t="n">
        <v>46104.59206831019</v>
      </c>
      <c r="B203" s="3" t="inlineStr">
        <is>
          <t>中山　雅子</t>
        </is>
      </c>
      <c r="C203" s="3" t="inlineStr">
        <is>
          <t>きたじま田岡病院</t>
        </is>
      </c>
      <c r="D203" s="3" t="inlineStr">
        <is>
          <t>徳島県</t>
        </is>
      </c>
      <c r="E203" s="3" t="inlineStr">
        <is>
          <t>kitajima_reha@taoka.or.jp</t>
        </is>
      </c>
      <c r="F203" s="3" t="inlineStr">
        <is>
          <t>リハビリテーション科／理学療法士</t>
        </is>
      </c>
      <c r="G203" s="3" t="n">
        <v>113</v>
      </c>
      <c r="H203" s="3" t="n">
        <v>105</v>
      </c>
      <c r="I203" s="3" t="n">
        <v>43</v>
      </c>
      <c r="J203" s="3" t="inlineStr">
        <is>
          <t>現在、算定している</t>
        </is>
      </c>
      <c r="K203" s="3" t="inlineStr">
        <is>
          <t>関節可動域運動, 筋力増強運動, DVT予防, リラクセーション, 自主運動指導, 術後リハビリテーションのオリエンテーション</t>
        </is>
      </c>
      <c r="L203" s="3" t="inlineStr">
        <is>
          <t>全症例の50％〜74％程度</t>
        </is>
      </c>
      <c r="M203" s="3" t="inlineStr">
        <is>
          <t>炎症コントロール</t>
        </is>
      </c>
      <c r="N203" s="3" t="inlineStr">
        <is>
          <t>全症例の0％〜24％程度</t>
        </is>
      </c>
      <c r="P203" s="3" t="inlineStr">
        <is>
          <t>全症例の50％〜74％程度</t>
        </is>
      </c>
      <c r="Q203" s="3" t="inlineStr">
        <is>
          <t>血液検査数値の確認</t>
        </is>
      </c>
      <c r="R203" s="3" t="inlineStr">
        <is>
          <t>全症例の0％〜24％程度</t>
        </is>
      </c>
      <c r="T203" s="3" t="inlineStr">
        <is>
          <t>SPPB, TUG, 下腿周径</t>
        </is>
      </c>
      <c r="V203" s="3" t="inlineStr">
        <is>
          <t>TUG</t>
        </is>
      </c>
      <c r="X203" s="3" t="inlineStr">
        <is>
          <t>立ち上がりテスト</t>
        </is>
      </c>
      <c r="Z203" s="3" t="inlineStr">
        <is>
          <t>Barthel Index（BI）</t>
        </is>
      </c>
      <c r="AB203" s="3" t="inlineStr">
        <is>
          <t>MMSE, HDS-R</t>
        </is>
      </c>
      <c r="AD203" s="3" t="inlineStr">
        <is>
          <t>TUG, 認知機能, CS-30</t>
        </is>
      </c>
      <c r="AF203" s="3" t="inlineStr">
        <is>
          <t>決まっていない</t>
        </is>
      </c>
      <c r="AH203" s="3" t="inlineStr">
        <is>
          <t>評価可能な日　歩行可能になってから</t>
        </is>
      </c>
      <c r="AI203" s="3" t="inlineStr">
        <is>
          <t>下肢筋力強化, バランス練習, 歩行練習, 歩容改善, 起立、着座動作練習, 環境調整, 補助具、装具の適正化, 教育、指導</t>
        </is>
      </c>
    </row>
    <row r="204" ht="22.5" customHeight="1">
      <c r="A204" s="32" t="n">
        <v>46104.6200981713</v>
      </c>
      <c r="B204" s="3" t="inlineStr">
        <is>
          <t>宮田　耕治</t>
        </is>
      </c>
      <c r="C204" s="3" t="inlineStr">
        <is>
          <t>市立ひらかた病院</t>
        </is>
      </c>
      <c r="D204" s="3" t="inlineStr">
        <is>
          <t>大阪府</t>
        </is>
      </c>
      <c r="E204" s="3" t="inlineStr">
        <is>
          <t>hirakatariha@yahoo.co.jp</t>
        </is>
      </c>
      <c r="F204" s="3" t="inlineStr">
        <is>
          <t>リハビリテーション科/理学療法士</t>
        </is>
      </c>
      <c r="G204" s="3" t="n">
        <v>87</v>
      </c>
      <c r="H204" s="3" t="n">
        <v>7</v>
      </c>
      <c r="I204" s="3" t="n">
        <v>2</v>
      </c>
      <c r="J204" s="3" t="inlineStr">
        <is>
          <t>届け出をしておらず、検討もしていない</t>
        </is>
      </c>
      <c r="K204" s="3" t="inlineStr">
        <is>
          <t>関節可動域運動, 筋力増強運動, リラクセーション</t>
        </is>
      </c>
      <c r="L204" s="3" t="inlineStr">
        <is>
          <t>全症例の0％〜24％程度</t>
        </is>
      </c>
      <c r="N204" s="3" t="inlineStr">
        <is>
          <t>全症例の0％〜24％程度</t>
        </is>
      </c>
      <c r="P204" s="3" t="inlineStr">
        <is>
          <t>全症例の0％〜24％程度</t>
        </is>
      </c>
      <c r="R204" s="3" t="inlineStr">
        <is>
          <t>全症例の0％〜24％程度</t>
        </is>
      </c>
      <c r="T204" s="3" t="inlineStr">
        <is>
          <t>膝伸展筋力</t>
        </is>
      </c>
      <c r="V204" s="3" t="inlineStr">
        <is>
          <t>実施していない</t>
        </is>
      </c>
      <c r="W204" s="3" t="inlineStr">
        <is>
          <t>器具の使用やより簡略化した評価方法があれば検討する。</t>
        </is>
      </c>
      <c r="X204" s="3" t="inlineStr">
        <is>
          <t>実施していない</t>
        </is>
      </c>
      <c r="Y204" s="3" t="inlineStr">
        <is>
          <t>簡略化した評価方法であれば検討する。安全が確保しにくい。</t>
        </is>
      </c>
      <c r="Z204" s="3" t="inlineStr">
        <is>
          <t>Barthel Index（BI）</t>
        </is>
      </c>
      <c r="AB204" s="3" t="inlineStr">
        <is>
          <t>実施していない</t>
        </is>
      </c>
      <c r="AC204" s="3" t="inlineStr">
        <is>
          <t>関わる職種のほとんどが理学療法士だから。</t>
        </is>
      </c>
      <c r="AD204" s="3" t="inlineStr">
        <is>
          <t>実施していない</t>
        </is>
      </c>
      <c r="AI204" s="3" t="inlineStr">
        <is>
          <t>下肢筋力強化, バランス練習, 歩行練習, 歩容改善, 起立、着座動作練習, 環境調整, 補助具、装具の適正化, 行動面への介入</t>
        </is>
      </c>
    </row>
    <row r="205" ht="22.5" customHeight="1">
      <c r="A205" s="32" t="n">
        <v>46104.64731174769</v>
      </c>
      <c r="B205" s="3" t="inlineStr">
        <is>
          <t>小椋雅也</t>
        </is>
      </c>
      <c r="C205" s="3" t="inlineStr">
        <is>
          <t>北播磨総合医療センター</t>
        </is>
      </c>
      <c r="D205" s="3" t="inlineStr">
        <is>
          <t>兵庫県</t>
        </is>
      </c>
      <c r="E205" s="3" t="inlineStr">
        <is>
          <t>khmc.pt.ogura@gmail.com</t>
        </is>
      </c>
      <c r="G205" s="3" t="n">
        <v>135</v>
      </c>
      <c r="H205" s="3" t="n">
        <v>12</v>
      </c>
      <c r="I205" s="3" t="n">
        <v>4</v>
      </c>
      <c r="J205" s="3" t="inlineStr">
        <is>
          <t>届け出はしていないが、現在検討中である</t>
        </is>
      </c>
      <c r="K205" s="3" t="inlineStr">
        <is>
          <t>実施していない</t>
        </is>
      </c>
      <c r="L205" s="3" t="inlineStr">
        <is>
          <t>全症例の25％〜49％程度</t>
        </is>
      </c>
      <c r="N205" s="3" t="inlineStr">
        <is>
          <t>全症例の25％〜49％程度</t>
        </is>
      </c>
      <c r="P205" s="3" t="inlineStr">
        <is>
          <t>全症例の25％〜49％程度</t>
        </is>
      </c>
      <c r="R205" s="3" t="inlineStr">
        <is>
          <t>全症例の0％〜24％程度</t>
        </is>
      </c>
      <c r="T205" s="3" t="inlineStr">
        <is>
          <t>実施していない</t>
        </is>
      </c>
      <c r="U205" s="3" t="inlineStr">
        <is>
          <t>受傷前との比較が行えないため</t>
        </is>
      </c>
      <c r="V205" s="3" t="inlineStr">
        <is>
          <t>実施していない</t>
        </is>
      </c>
      <c r="W205" s="3" t="inlineStr">
        <is>
          <t>受傷前との比較が行えないため</t>
        </is>
      </c>
      <c r="X205" s="3" t="inlineStr">
        <is>
          <t>実施していない</t>
        </is>
      </c>
      <c r="Y205" s="3" t="inlineStr">
        <is>
          <t>ロコモティブシンドロームに関する指導を行わないため</t>
        </is>
      </c>
      <c r="Z205" s="3" t="inlineStr">
        <is>
          <t>FIM</t>
        </is>
      </c>
      <c r="AB205" s="3" t="inlineStr">
        <is>
          <t>実施していない</t>
        </is>
      </c>
      <c r="AC205" s="3" t="inlineStr">
        <is>
          <t>他部門の情報を参考にするため</t>
        </is>
      </c>
      <c r="AD205" s="3" t="inlineStr">
        <is>
          <t>実施していない</t>
        </is>
      </c>
      <c r="AE205" s="3" t="inlineStr">
        <is>
          <t>患者ごとに情報収集するため、一律の評価は行っていない</t>
        </is>
      </c>
      <c r="AI205" s="3" t="inlineStr">
        <is>
          <t>下肢筋力強化, バランス練習, 歩行練習, 歩容改善, 起立、着座動作練習, 環境調整, 補助具、装具の適正化</t>
        </is>
      </c>
    </row>
    <row r="206" ht="22.5" customHeight="1">
      <c r="A206" s="32" t="n">
        <v>46104.65867399306</v>
      </c>
      <c r="B206" s="3" t="inlineStr">
        <is>
          <t>伊藤 麻起子</t>
        </is>
      </c>
      <c r="C206" s="3" t="inlineStr">
        <is>
          <t>保健会　谷津保健病院</t>
        </is>
      </c>
      <c r="D206" s="3" t="inlineStr">
        <is>
          <t>千葉県</t>
        </is>
      </c>
      <c r="E206" s="3" t="inlineStr">
        <is>
          <t>m.ito@yatsu.or.jp</t>
        </is>
      </c>
      <c r="F206" s="3" t="inlineStr">
        <is>
          <t>リハビリテーション科/作業療法士</t>
        </is>
      </c>
      <c r="G206" s="3" t="n">
        <v>98</v>
      </c>
      <c r="H206" s="3" t="n">
        <v>16</v>
      </c>
      <c r="I206" s="3" t="n">
        <v>7</v>
      </c>
      <c r="J206" s="3" t="inlineStr">
        <is>
          <t>現在、算定している</t>
        </is>
      </c>
      <c r="K206" s="3" t="inlineStr">
        <is>
          <t>関節可動域運動, 筋力増強運動, 呼吸リハビリテーション, DVT予防, ポジショニング, 自主運動指導, 術後リハビリテーションのオリエンテーション</t>
        </is>
      </c>
      <c r="L206" s="3" t="inlineStr">
        <is>
          <t>全症例の25％〜49％程度</t>
        </is>
      </c>
      <c r="N206" s="3" t="inlineStr">
        <is>
          <t>全症例の0％〜24％程度</t>
        </is>
      </c>
      <c r="P206" s="3" t="inlineStr">
        <is>
          <t>全症例の0％〜24％程度</t>
        </is>
      </c>
      <c r="R206" s="3" t="inlineStr">
        <is>
          <t>全症例の0％〜24％程度</t>
        </is>
      </c>
      <c r="T206" s="3" t="inlineStr">
        <is>
          <t>握力, 歩行速度, TUG, 6分間歩行距離</t>
        </is>
      </c>
      <c r="V206" s="3" t="inlineStr">
        <is>
          <t>TUG, 6分間歩行距離, 握力</t>
        </is>
      </c>
      <c r="X206" s="3" t="inlineStr">
        <is>
          <t>実施していない</t>
        </is>
      </c>
      <c r="Z206" s="3" t="inlineStr">
        <is>
          <t>Barthel Index（BI）</t>
        </is>
      </c>
      <c r="AB206" s="3" t="inlineStr">
        <is>
          <t>必要時MMSE実施　普段は見当識を確認</t>
        </is>
      </c>
      <c r="AD206" s="3" t="inlineStr">
        <is>
          <t>認知機能, 過去の転倒歴, 既往疾患の有無（脳血管疾患、パーキンソン病など）, 薬剤（向精神薬、降圧薬、利尿薬、ポリファーマシーなど）</t>
        </is>
      </c>
      <c r="AF206" s="3" t="inlineStr">
        <is>
          <t>決まっている</t>
        </is>
      </c>
      <c r="AG206" s="3" t="inlineStr">
        <is>
          <t>入院時、入院後２日後、状態変化時</t>
        </is>
      </c>
      <c r="AI206" s="3" t="inlineStr">
        <is>
          <t>下肢筋力強化, バランス練習, 歩行練習, 歩容改善, 起立、着座動作練習, 環境調整, 補助具、装具の適正化, 認知面への介入, 行動面への介入, 教育、指導</t>
        </is>
      </c>
    </row>
    <row r="207" ht="22.5" customHeight="1">
      <c r="A207" s="32" t="n">
        <v>46104.65918270833</v>
      </c>
      <c r="B207" s="3" t="inlineStr">
        <is>
          <t>金　光律</t>
        </is>
      </c>
      <c r="C207" s="3" t="inlineStr">
        <is>
          <t>大阪府済生会泉尾病院</t>
        </is>
      </c>
      <c r="D207" s="3" t="inlineStr">
        <is>
          <t>大阪府</t>
        </is>
      </c>
      <c r="E207" s="3" t="inlineStr">
        <is>
          <t>s.murata@izuo-saiseikai.gr.jp</t>
        </is>
      </c>
      <c r="F207" s="3" t="inlineStr">
        <is>
          <t>リハビリテーション部／理学療法士</t>
        </is>
      </c>
      <c r="G207" s="3" t="n">
        <v>100</v>
      </c>
      <c r="H207" s="3" t="n">
        <v>27</v>
      </c>
      <c r="I207" s="3" t="n">
        <v>5</v>
      </c>
      <c r="J207" s="3" t="inlineStr">
        <is>
          <t>届け出をしておらず、検討もしていない</t>
        </is>
      </c>
      <c r="K207" s="3" t="inlineStr">
        <is>
          <t>関節可動域運動, 筋力増強運動, DVT予防, リラクセーション, ポジショニング</t>
        </is>
      </c>
      <c r="L207" s="3" t="inlineStr">
        <is>
          <t>全症例の25％〜49％程度</t>
        </is>
      </c>
      <c r="N207" s="3" t="inlineStr">
        <is>
          <t>全症例の25％〜49％程度</t>
        </is>
      </c>
      <c r="P207" s="3" t="inlineStr">
        <is>
          <t>全症例の25％〜49％程度</t>
        </is>
      </c>
      <c r="R207" s="3" t="inlineStr">
        <is>
          <t>全症例の25％〜49％程度</t>
        </is>
      </c>
      <c r="T207" s="3" t="inlineStr">
        <is>
          <t>握力, 膝伸展筋力, 5回椅子立ち上がりテスト, 歩行速度, TUG, 開眼片脚立位時間, 下腿周径</t>
        </is>
      </c>
      <c r="V207" s="3" t="inlineStr">
        <is>
          <t>TUG, 握力</t>
        </is>
      </c>
      <c r="X207" s="3" t="inlineStr">
        <is>
          <t>実施していない</t>
        </is>
      </c>
      <c r="Y207" s="3" t="inlineStr">
        <is>
          <t>時間の制約</t>
        </is>
      </c>
      <c r="Z207" s="3" t="inlineStr">
        <is>
          <t>FIM</t>
        </is>
      </c>
      <c r="AB207" s="3" t="inlineStr">
        <is>
          <t>MMSE</t>
        </is>
      </c>
      <c r="AD207" s="3" t="inlineStr">
        <is>
          <t>定量的な下肢筋力測定, 開眼片脚立位時間, TUG, 10m歩行速度, 5回椅子立ち上がりテスト</t>
        </is>
      </c>
      <c r="AF207" s="3" t="inlineStr">
        <is>
          <t>決まっている</t>
        </is>
      </c>
      <c r="AG207" s="3" t="inlineStr">
        <is>
          <t>おおよそ、2週間以内</t>
        </is>
      </c>
      <c r="AI207" s="3" t="inlineStr">
        <is>
          <t>下肢筋力強化, バランス練習, 歩行練習, 歩容改善, 起立、着座動作練習, 環境調整, 教育、指導</t>
        </is>
      </c>
    </row>
    <row r="208" ht="22.5" customHeight="1">
      <c r="A208" s="32" t="n">
        <v>46104.66208038195</v>
      </c>
      <c r="B208" s="3" t="inlineStr">
        <is>
          <t>田中　耕嗣</t>
        </is>
      </c>
      <c r="C208" s="3" t="inlineStr">
        <is>
          <t>南奈良総合医療センター</t>
        </is>
      </c>
      <c r="D208" s="3" t="inlineStr">
        <is>
          <t>奈良県</t>
        </is>
      </c>
      <c r="E208" s="3" t="inlineStr">
        <is>
          <t>tanaka-koji@nanwairyou.jp</t>
        </is>
      </c>
      <c r="F208" s="3" t="inlineStr">
        <is>
          <t>リハビリテーション部</t>
        </is>
      </c>
      <c r="G208" s="3" t="n">
        <v>174</v>
      </c>
      <c r="H208" s="3" t="n">
        <v>11</v>
      </c>
      <c r="I208" s="3" t="n">
        <v>1</v>
      </c>
      <c r="J208" s="3" t="inlineStr">
        <is>
          <t>届け出をしておらず、検討もしていない</t>
        </is>
      </c>
      <c r="K208" s="3" t="inlineStr">
        <is>
          <t>実施していない</t>
        </is>
      </c>
      <c r="L208" s="3" t="inlineStr">
        <is>
          <t>全症例の0％〜24％程度</t>
        </is>
      </c>
      <c r="N208" s="3" t="inlineStr">
        <is>
          <t>全症例の0％〜24％程度</t>
        </is>
      </c>
      <c r="P208" s="3" t="inlineStr">
        <is>
          <t>全症例の0％〜24％程度</t>
        </is>
      </c>
      <c r="R208" s="3" t="inlineStr">
        <is>
          <t>全症例の0％〜24％程度</t>
        </is>
      </c>
      <c r="T208" s="3" t="inlineStr">
        <is>
          <t>握力, 膝伸展筋力, 5回椅子立ち上がりテスト, 歩行速度, TUG, 下腿周径</t>
        </is>
      </c>
      <c r="V208" s="3" t="inlineStr">
        <is>
          <t>TUG, 認知機能, 握力</t>
        </is>
      </c>
      <c r="X208" s="3" t="inlineStr">
        <is>
          <t>立ち上がりテスト</t>
        </is>
      </c>
      <c r="Z208" s="3" t="inlineStr">
        <is>
          <t>FIM</t>
        </is>
      </c>
      <c r="AB208" s="3" t="inlineStr">
        <is>
          <t>MMSE, MoCA</t>
        </is>
      </c>
      <c r="AD208" s="3" t="inlineStr">
        <is>
          <t>定量的な下肢筋力測定, TUG, 10m歩行速度, Berg Balance Scale（BBS）, 5回椅子立ち上がりテスト, 認知機能, ベッド周囲および病室環境</t>
        </is>
      </c>
      <c r="AF208" s="3" t="inlineStr">
        <is>
          <t>決まっている</t>
        </is>
      </c>
      <c r="AG208" s="3" t="inlineStr">
        <is>
          <t>FLSカンファレンスで対象となった患者に対し実施する。術後２週間以内</t>
        </is>
      </c>
      <c r="AI208" s="3" t="inlineStr">
        <is>
          <t>下肢筋力強化, バランス練習, 歩行練習, 歩容改善, 起立、着座動作練習, 環境調整, 補助具、装具の適正化, 認知面への介入, 行動面への介入, 教育、指導</t>
        </is>
      </c>
    </row>
    <row r="209" ht="22.5" customHeight="1">
      <c r="A209" s="32" t="n">
        <v>46104.66974711805</v>
      </c>
      <c r="B209" s="3" t="inlineStr">
        <is>
          <t>大八木　聡</t>
        </is>
      </c>
      <c r="C209" s="3" t="inlineStr">
        <is>
          <t>社会医療法人誠光会</t>
        </is>
      </c>
      <c r="D209" s="3" t="inlineStr">
        <is>
          <t>滋賀県</t>
        </is>
      </c>
      <c r="E209" s="3" t="inlineStr">
        <is>
          <t>satoshi721@seikoukai-sc.or.jp</t>
        </is>
      </c>
      <c r="F209" s="3" t="inlineStr">
        <is>
          <t>リハビリテーション部／理学療法士</t>
        </is>
      </c>
      <c r="G209" s="3" t="n">
        <v>168</v>
      </c>
      <c r="H209" s="3" t="n">
        <v>18.8</v>
      </c>
      <c r="I209" s="3" t="n">
        <v>6.8</v>
      </c>
      <c r="J209" s="3" t="inlineStr">
        <is>
          <t>現在、算定している</t>
        </is>
      </c>
      <c r="K209" s="3" t="inlineStr">
        <is>
          <t>DVT予防, 術後リハビリテーションのオリエンテーション</t>
        </is>
      </c>
      <c r="L209" s="3" t="inlineStr">
        <is>
          <t>全症例の25％〜49％程度</t>
        </is>
      </c>
      <c r="N209" s="3" t="inlineStr">
        <is>
          <t>全症例の0％〜24％程度</t>
        </is>
      </c>
      <c r="P209" s="3" t="inlineStr">
        <is>
          <t>全症例の0％〜24％程度</t>
        </is>
      </c>
      <c r="R209" s="3" t="inlineStr">
        <is>
          <t>全症例の0％〜24％程度</t>
        </is>
      </c>
      <c r="T209" s="3" t="inlineStr">
        <is>
          <t>膝伸展筋力, 歩行速度</t>
        </is>
      </c>
      <c r="V209" s="3" t="inlineStr">
        <is>
          <t>握力</t>
        </is>
      </c>
      <c r="X209" s="3" t="inlineStr">
        <is>
          <t>実施していない</t>
        </is>
      </c>
      <c r="Y209" s="3" t="inlineStr">
        <is>
          <t>ロコモ評価にまで手が回せていない</t>
        </is>
      </c>
      <c r="Z209" s="3" t="inlineStr">
        <is>
          <t>Barthel Index（BI）</t>
        </is>
      </c>
      <c r="AB209" s="3" t="inlineStr">
        <is>
          <t>HDS-R</t>
        </is>
      </c>
      <c r="AD209" s="3" t="inlineStr">
        <is>
          <t>実施していない</t>
        </is>
      </c>
      <c r="AE209" s="3" t="inlineStr">
        <is>
          <t>明確なFLS活動がない</t>
        </is>
      </c>
      <c r="AI209" s="3" t="inlineStr">
        <is>
          <t>実施していない</t>
        </is>
      </c>
      <c r="AJ209" s="3" t="inlineStr">
        <is>
          <t>明確なFLS活動がない</t>
        </is>
      </c>
    </row>
    <row r="210" ht="22.5" customHeight="1">
      <c r="A210" s="32" t="n">
        <v>46104.69106232639</v>
      </c>
      <c r="B210" s="3" t="inlineStr">
        <is>
          <t>髙橋佑香</t>
        </is>
      </c>
      <c r="C210" s="3" t="inlineStr">
        <is>
          <t>聖隷沼津病院</t>
        </is>
      </c>
      <c r="D210" s="3" t="inlineStr">
        <is>
          <t>静岡県</t>
        </is>
      </c>
      <c r="E210" s="3" t="inlineStr">
        <is>
          <t>sakute@me.com</t>
        </is>
      </c>
      <c r="F210" s="3" t="inlineStr">
        <is>
          <t>リハビリテーション課/理学療法士</t>
        </is>
      </c>
      <c r="G210" s="3" t="n">
        <v>154</v>
      </c>
      <c r="H210" s="3" t="n">
        <v>11</v>
      </c>
      <c r="I210" s="3" t="n">
        <v>0</v>
      </c>
      <c r="J210" s="3" t="inlineStr">
        <is>
          <t>届け出をしておらず、検討もしていない</t>
        </is>
      </c>
      <c r="K210" s="3" t="inlineStr">
        <is>
          <t>関節可動域運動, 筋力増強運動, DVT予防, リラクセーション, ポジショニング</t>
        </is>
      </c>
      <c r="L210" s="3" t="inlineStr">
        <is>
          <t>全症例の0％〜24％程度</t>
        </is>
      </c>
      <c r="N210" s="3" t="inlineStr">
        <is>
          <t>全症例の0％〜24％程度</t>
        </is>
      </c>
      <c r="P210" s="3" t="inlineStr">
        <is>
          <t>全症例の0％〜24％程度</t>
        </is>
      </c>
      <c r="R210" s="3" t="inlineStr">
        <is>
          <t>全症例の0％〜24％程度</t>
        </is>
      </c>
      <c r="T210" s="3" t="inlineStr">
        <is>
          <t>握力, TUG, 開眼片脚立位時間</t>
        </is>
      </c>
      <c r="V210" s="3" t="inlineStr">
        <is>
          <t>TUG, 認知機能, 握力</t>
        </is>
      </c>
      <c r="X210" s="3" t="inlineStr">
        <is>
          <t>立ち上がりテスト, 2ステップテスト, ロコモ25（質問票）</t>
        </is>
      </c>
      <c r="Z210" s="3" t="inlineStr">
        <is>
          <t>FIM</t>
        </is>
      </c>
      <c r="AB210" s="3" t="inlineStr">
        <is>
          <t>HDS-R, AMTS</t>
        </is>
      </c>
      <c r="AD210" s="3" t="inlineStr">
        <is>
          <t>TUG, 認知機能, 転倒恐怖感, 過去の転倒歴, 既往疾患の有無（脳血管疾患、パーキンソン病など）, 薬剤（向精神薬、降圧薬、利尿薬、ポリファーマシーなど）, ベッド周囲および病室環境</t>
        </is>
      </c>
      <c r="AF210" s="3" t="inlineStr">
        <is>
          <t>決まっている</t>
        </is>
      </c>
      <c r="AG210" s="3" t="inlineStr">
        <is>
          <t>HDS-R、AMTSは手術前に極力評価する。困難な場合は、手術後1週間以内に実施する。</t>
        </is>
      </c>
      <c r="AI210" s="3" t="inlineStr">
        <is>
          <t>下肢筋力強化, バランス練習, 歩行練習, 歩容改善, 起立、着座動作練習, 補助具、装具の適正化, 教育、指導</t>
        </is>
      </c>
    </row>
    <row r="211" ht="22.5" customHeight="1">
      <c r="A211" s="32" t="n">
        <v>46104.69978277778</v>
      </c>
      <c r="B211" s="3" t="inlineStr">
        <is>
          <t>渕澤慎也</t>
        </is>
      </c>
      <c r="C211" s="3" t="inlineStr">
        <is>
          <t>福島赤十字病院</t>
        </is>
      </c>
      <c r="D211" s="3" t="inlineStr">
        <is>
          <t>福島県</t>
        </is>
      </c>
      <c r="E211" s="3" t="inlineStr">
        <is>
          <t>nisseki-reha@fukushima-med-jrc.jp</t>
        </is>
      </c>
      <c r="G211" s="3" t="n">
        <v>73</v>
      </c>
      <c r="H211" s="3" t="n">
        <v>6</v>
      </c>
      <c r="I211" s="3" t="n">
        <v>5</v>
      </c>
      <c r="J211" s="3" t="inlineStr">
        <is>
          <t>届け出をしておらず、検討もしていない</t>
        </is>
      </c>
      <c r="K211" s="3" t="inlineStr">
        <is>
          <t>関節可動域運動, 筋力増強運動, 自主運動指導, 術後リハビリテーションのオリエンテーション, 離床（例：車椅子移乗,立位,歩行など）</t>
        </is>
      </c>
      <c r="L211" s="3" t="inlineStr">
        <is>
          <t>全症例の25％〜49％程度</t>
        </is>
      </c>
      <c r="N211" s="3" t="inlineStr">
        <is>
          <t>全症例の0％〜24％程度</t>
        </is>
      </c>
      <c r="P211" s="3" t="inlineStr">
        <is>
          <t>全症例の0％〜24％程度</t>
        </is>
      </c>
      <c r="R211" s="3" t="inlineStr">
        <is>
          <t>全症例の0％〜24％程度</t>
        </is>
      </c>
      <c r="T211" s="3" t="inlineStr">
        <is>
          <t>握力, 5回椅子立ち上がりテスト, SPPB</t>
        </is>
      </c>
      <c r="V211" s="3" t="inlineStr">
        <is>
          <t>握力</t>
        </is>
      </c>
      <c r="X211" s="3" t="inlineStr">
        <is>
          <t>実施していない</t>
        </is>
      </c>
      <c r="Y211" s="3" t="inlineStr">
        <is>
          <t>ロコモティブシンドロームに関しては評価バッテリーを使用していない。</t>
        </is>
      </c>
      <c r="Z211" s="3" t="inlineStr">
        <is>
          <t>Barthel Index（BI）</t>
        </is>
      </c>
      <c r="AB211" s="3" t="inlineStr">
        <is>
          <t>MMSE, HDS-R, AMTS</t>
        </is>
      </c>
      <c r="AD211" s="3" t="inlineStr">
        <is>
          <t>認知機能</t>
        </is>
      </c>
      <c r="AF211" s="3" t="inlineStr">
        <is>
          <t>決まっていない</t>
        </is>
      </c>
      <c r="AH211" s="3" t="inlineStr">
        <is>
          <t>設定していませんでした。</t>
        </is>
      </c>
      <c r="AI211" s="3" t="inlineStr">
        <is>
          <t>下肢筋力強化, バランス練習, 歩行練習, 起立、着座動作練習, 補助具、装具の適正化</t>
        </is>
      </c>
    </row>
    <row r="212" ht="22.5" customHeight="1">
      <c r="A212" s="32" t="n">
        <v>46104.71062152777</v>
      </c>
      <c r="B212" s="3" t="inlineStr">
        <is>
          <t>理学療法士</t>
        </is>
      </c>
      <c r="C212" s="3" t="inlineStr">
        <is>
          <t>長崎県壱岐病院</t>
        </is>
      </c>
      <c r="D212" s="3" t="inlineStr">
        <is>
          <t>長崎県</t>
        </is>
      </c>
      <c r="E212" s="3" t="inlineStr">
        <is>
          <t>n-tashima@ikihp.jp</t>
        </is>
      </c>
      <c r="F212" s="3" t="inlineStr">
        <is>
          <t>リハビリテーション科／理学療法士</t>
        </is>
      </c>
      <c r="G212" s="3" t="n">
        <v>62</v>
      </c>
      <c r="H212" s="3" t="n">
        <v>5</v>
      </c>
      <c r="I212" s="3" t="n">
        <v>4</v>
      </c>
      <c r="J212" s="3" t="inlineStr">
        <is>
          <t>届け出をしておらず、検討もしていない</t>
        </is>
      </c>
      <c r="K212" s="3" t="inlineStr">
        <is>
          <t>関節可動域運動, 筋力増強運動, 呼吸リハビリテーション, リラクセーション, 術後リハビリテーションのオリエンテーション, 離床（例：車椅子移乗,立位,歩行など）</t>
        </is>
      </c>
      <c r="L212" s="3" t="inlineStr">
        <is>
          <t>全症例の50％〜74％程度</t>
        </is>
      </c>
      <c r="M212" s="3" t="inlineStr">
        <is>
          <t>内服による疼痛コントロール　アイシング　ポジショニング</t>
        </is>
      </c>
      <c r="N212" s="3" t="inlineStr">
        <is>
          <t>全症例の25％〜49％程度</t>
        </is>
      </c>
      <c r="P212" s="3" t="inlineStr">
        <is>
          <t>全症例の25％〜49％程度</t>
        </is>
      </c>
      <c r="R212" s="3" t="inlineStr">
        <is>
          <t>全症例の0％〜24％程度</t>
        </is>
      </c>
      <c r="T212" s="3" t="inlineStr">
        <is>
          <t>握力, 5回椅子立ち上がりテスト, TUG, 開眼片脚立位時間</t>
        </is>
      </c>
      <c r="V212" s="3" t="inlineStr">
        <is>
          <t>TUG, 握力</t>
        </is>
      </c>
      <c r="X212" s="3" t="inlineStr">
        <is>
          <t>立ち上がりテスト</t>
        </is>
      </c>
      <c r="Z212" s="3" t="inlineStr">
        <is>
          <t>Barthel Index（BI）</t>
        </is>
      </c>
      <c r="AB212" s="3" t="inlineStr">
        <is>
          <t>HDS-R</t>
        </is>
      </c>
      <c r="AD212" s="3" t="inlineStr">
        <is>
          <t>認知機能, せん妄, 過去の転倒歴, 薬剤（向精神薬、降圧薬、利尿薬、ポリファーマシーなど）</t>
        </is>
      </c>
      <c r="AF212" s="3" t="inlineStr">
        <is>
          <t>決まっている</t>
        </is>
      </c>
      <c r="AG212" s="3" t="inlineStr">
        <is>
          <t>初日に行い、１週間ずつで再評価</t>
        </is>
      </c>
      <c r="AI212" s="3" t="inlineStr">
        <is>
          <t>下肢筋力強化, バランス練習, 歩行練習, 歩容改善, 起立、着座動作練習, 環境調整, 補助具、装具の適正化, 認知面への介入, 行動面への介入, 教育、指導</t>
        </is>
      </c>
    </row>
    <row r="213" ht="22.5" customHeight="1">
      <c r="A213" s="32" t="n">
        <v>46104.71309839121</v>
      </c>
      <c r="B213" s="3" t="inlineStr">
        <is>
          <t>室谷　匡紀</t>
        </is>
      </c>
      <c r="C213" s="3" t="inlineStr">
        <is>
          <t>松戸市立総合医療センター</t>
        </is>
      </c>
      <c r="D213" s="3" t="inlineStr">
        <is>
          <t>千葉県</t>
        </is>
      </c>
      <c r="E213" s="3" t="inlineStr">
        <is>
          <t>reha@matsudo-hp.jp</t>
        </is>
      </c>
      <c r="F213" s="3" t="inlineStr">
        <is>
          <t>リハビリテーション科／理学療法士</t>
        </is>
      </c>
      <c r="G213" s="3" t="n">
        <v>57</v>
      </c>
      <c r="H213" s="3" t="n">
        <v>27</v>
      </c>
      <c r="I213" s="3" t="n">
        <v>0</v>
      </c>
      <c r="J213" s="3" t="inlineStr">
        <is>
          <t>届け出をしておらず、検討もしていない</t>
        </is>
      </c>
      <c r="K213" s="3" t="inlineStr">
        <is>
          <t>関節可動域運動, 筋力増強運動, ポジショニング, 自主運動指導, 離床（例：車椅子移乗,立位,歩行など）</t>
        </is>
      </c>
      <c r="L213" s="3" t="inlineStr">
        <is>
          <t>全症例の75％〜100％程度</t>
        </is>
      </c>
      <c r="M213" s="3" t="inlineStr">
        <is>
          <t>パスに準じているため</t>
        </is>
      </c>
      <c r="N213" s="3" t="inlineStr">
        <is>
          <t>全症例の0％〜24％程度</t>
        </is>
      </c>
      <c r="P213" s="3" t="inlineStr">
        <is>
          <t>全症例の0％〜24％程度</t>
        </is>
      </c>
      <c r="R213" s="3" t="inlineStr">
        <is>
          <t>全症例の0％〜24％程度</t>
        </is>
      </c>
      <c r="T213" s="3" t="inlineStr">
        <is>
          <t>握力, SPPB, 開眼片脚立位時間</t>
        </is>
      </c>
      <c r="V213" s="3" t="inlineStr">
        <is>
          <t>認知機能, 握力</t>
        </is>
      </c>
      <c r="X213" s="3" t="inlineStr">
        <is>
          <t>実施していない</t>
        </is>
      </c>
      <c r="Y213" s="3" t="inlineStr">
        <is>
          <t>疼痛の影響が強い。転院が早い。</t>
        </is>
      </c>
      <c r="Z213" s="3" t="inlineStr">
        <is>
          <t>Barthel Index（BI）</t>
        </is>
      </c>
      <c r="AB213" s="3" t="inlineStr">
        <is>
          <t>初期認知症徴候観察リスト</t>
        </is>
      </c>
      <c r="AD213" s="3" t="inlineStr">
        <is>
          <t>SPPB、Functional Reach Test（FRT）, 認知機能</t>
        </is>
      </c>
      <c r="AF213" s="3" t="inlineStr">
        <is>
          <t>決まっていない</t>
        </is>
      </c>
      <c r="AH213" s="3" t="inlineStr">
        <is>
          <t>痛みなどの全身状態によるため</t>
        </is>
      </c>
      <c r="AI213" s="3" t="inlineStr">
        <is>
          <t>下肢筋力強化, バランス練習, 歩行練習, 歩容改善, 起立、着座動作練習, 環境調整, 補助具、装具の適正化, 認知面への介入, 教育、指導</t>
        </is>
      </c>
    </row>
    <row r="214" ht="22.5" customHeight="1">
      <c r="A214" s="32" t="n">
        <v>46104.7147812037</v>
      </c>
      <c r="B214" s="3" t="inlineStr">
        <is>
          <t>作業療法士</t>
        </is>
      </c>
      <c r="C214" s="3" t="inlineStr">
        <is>
          <t>熊本整形外科病院</t>
        </is>
      </c>
      <c r="D214" s="3" t="inlineStr">
        <is>
          <t>熊本県</t>
        </is>
      </c>
      <c r="E214" s="3" t="inlineStr">
        <is>
          <t>kumasei-ot@kumasei.jp</t>
        </is>
      </c>
      <c r="F214" s="3" t="inlineStr">
        <is>
          <t>運動器リハビリテーション科/作業療法士</t>
        </is>
      </c>
      <c r="G214" s="3" t="n">
        <v>183</v>
      </c>
      <c r="H214" s="3" t="n">
        <v>23</v>
      </c>
      <c r="I214" s="3" t="n">
        <v>5</v>
      </c>
      <c r="J214" s="3" t="inlineStr">
        <is>
          <t>届け出をしておらず、検討もしていない</t>
        </is>
      </c>
      <c r="K214" s="3" t="inlineStr">
        <is>
          <t>関節可動域運動, 筋力増強運動, DVT予防, リラクセーション, ポジショニング, 自主運動指導, 術後リハビリテーションのオリエンテーション, 離床（例：車椅子移乗,立位,歩行など）</t>
        </is>
      </c>
      <c r="L214" s="3" t="inlineStr">
        <is>
          <t>全症例の50％〜74％程度</t>
        </is>
      </c>
      <c r="M214" s="3" t="inlineStr">
        <is>
          <t>鎮痛コントロール、介助者（補助者）を増やしての対応</t>
        </is>
      </c>
      <c r="N214" s="3" t="inlineStr">
        <is>
          <t>全症例の25％〜49％程度</t>
        </is>
      </c>
      <c r="P214" s="3" t="inlineStr">
        <is>
          <t>全症例の0％〜24％程度</t>
        </is>
      </c>
      <c r="R214" s="3" t="inlineStr">
        <is>
          <t>全症例の0％〜24％程度</t>
        </is>
      </c>
      <c r="T214" s="3" t="inlineStr">
        <is>
          <t>実施していない</t>
        </is>
      </c>
      <c r="U214" s="3" t="inlineStr">
        <is>
          <t>急性期評価主体のため</t>
        </is>
      </c>
      <c r="V214" s="3" t="inlineStr">
        <is>
          <t>実施していない</t>
        </is>
      </c>
      <c r="W214" s="3" t="inlineStr">
        <is>
          <t>急性期評価主体のため</t>
        </is>
      </c>
      <c r="X214" s="3" t="inlineStr">
        <is>
          <t>実施していない</t>
        </is>
      </c>
      <c r="Y214" s="3" t="inlineStr">
        <is>
          <t>急性期評価主体のため</t>
        </is>
      </c>
      <c r="Z214" s="3" t="inlineStr">
        <is>
          <t>Barthel Index（BI）, FIM</t>
        </is>
      </c>
      <c r="AB214" s="3" t="inlineStr">
        <is>
          <t>実施していない</t>
        </is>
      </c>
      <c r="AC214" s="3" t="inlineStr">
        <is>
          <t>簡易的な評価を実施　文書での管理は未実施</t>
        </is>
      </c>
      <c r="AD214" s="3" t="inlineStr">
        <is>
          <t>定量的な下肢筋力測定, 開眼片脚立位時間</t>
        </is>
      </c>
      <c r="AF214" s="3" t="inlineStr">
        <is>
          <t>決まっている</t>
        </is>
      </c>
      <c r="AG214" s="3" t="inlineStr">
        <is>
          <t>術後10～14日</t>
        </is>
      </c>
      <c r="AI214" s="3" t="inlineStr">
        <is>
          <t>下肢筋力強化, バランス練習, 歩行練習, 歩容改善, 起立、着座動作練習, 環境調整, 教育、指導</t>
        </is>
      </c>
    </row>
    <row r="215" ht="22.5" customHeight="1">
      <c r="A215" s="32" t="n">
        <v>46104.73129451389</v>
      </c>
      <c r="B215" s="3" t="inlineStr">
        <is>
          <t>南波晃</t>
        </is>
      </c>
      <c r="C215" s="3" t="inlineStr">
        <is>
          <t>秋田赤十字病院</t>
        </is>
      </c>
      <c r="D215" s="3" t="inlineStr">
        <is>
          <t>秋田県</t>
        </is>
      </c>
      <c r="E215" s="3" t="inlineStr">
        <is>
          <t>akira_nanba@akita-med.jrc.or.jp</t>
        </is>
      </c>
      <c r="F215" s="3" t="inlineStr">
        <is>
          <t>リハビリテーション科/理学療法士</t>
        </is>
      </c>
      <c r="G215" s="3" t="n">
        <v>128</v>
      </c>
      <c r="H215" s="3" t="n">
        <v>12</v>
      </c>
      <c r="I215" s="3" t="n">
        <v>4</v>
      </c>
      <c r="J215" s="3" t="inlineStr">
        <is>
          <t>届け出はしていないが、現在検討中である</t>
        </is>
      </c>
      <c r="K215" s="3" t="inlineStr">
        <is>
          <t>関節可動域運動, 筋力増強運動, 呼吸リハビリテーション, DVT予防, ポジショニング, 自主運動指導, 術後リハビリテーションのオリエンテーション</t>
        </is>
      </c>
      <c r="L215" s="3" t="inlineStr">
        <is>
          <t>全症例の25％〜49％程度</t>
        </is>
      </c>
      <c r="N215" s="3" t="inlineStr">
        <is>
          <t>全症例の0％〜24％程度</t>
        </is>
      </c>
      <c r="P215" s="3" t="inlineStr">
        <is>
          <t>全症例の0％〜24％程度</t>
        </is>
      </c>
      <c r="R215" s="3" t="inlineStr">
        <is>
          <t>全症例の0％〜24％程度</t>
        </is>
      </c>
      <c r="T215" s="3" t="inlineStr">
        <is>
          <t>握力, 下腿周径</t>
        </is>
      </c>
      <c r="V215" s="3" t="inlineStr">
        <is>
          <t>認知機能, 握力</t>
        </is>
      </c>
      <c r="X215" s="3" t="inlineStr">
        <is>
          <t>実施していない</t>
        </is>
      </c>
      <c r="Y215" s="3" t="inlineStr">
        <is>
          <t>科内でのコアアウトカムセットとして定めていないため。</t>
        </is>
      </c>
      <c r="Z215" s="3" t="inlineStr">
        <is>
          <t>Barthel Index（BI）</t>
        </is>
      </c>
      <c r="AB215" s="3" t="inlineStr">
        <is>
          <t>AMTS</t>
        </is>
      </c>
      <c r="AD215" s="3" t="inlineStr">
        <is>
          <t>認知機能, 転倒恐怖感, 既往疾患の有無（脳血管疾患、パーキンソン病など）, 薬剤（向精神薬、降圧薬、利尿薬、ポリファーマシーなど）, ベッド周囲および病室環境</t>
        </is>
      </c>
      <c r="AF215" s="3" t="inlineStr">
        <is>
          <t>決まっていない</t>
        </is>
      </c>
      <c r="AH215" s="3" t="inlineStr">
        <is>
          <t>患者の状態によって評価の可否が異なるため(せん妄の有無等)、各療法士の判断に委ねているため。</t>
        </is>
      </c>
      <c r="AI215" s="3" t="inlineStr">
        <is>
          <t>下肢筋力強化, バランス練習, 歩行練習, 歩容改善, 起立、着座動作練習, 環境調整, 補助具、装具の適正化, 行動面への介入, 教育、指導</t>
        </is>
      </c>
    </row>
    <row r="216" ht="22.5" customHeight="1">
      <c r="A216" s="32" t="n">
        <v>46104.7393587037</v>
      </c>
      <c r="B216" s="3" t="inlineStr">
        <is>
          <t>吉見　晃</t>
        </is>
      </c>
      <c r="C216" s="3" t="inlineStr">
        <is>
          <t>長崎県病院企業団　長崎県対馬病院</t>
        </is>
      </c>
      <c r="D216" s="3" t="inlineStr">
        <is>
          <t>長崎県</t>
        </is>
      </c>
      <c r="E216" s="3" t="inlineStr">
        <is>
          <t>0530hikaru1003@gmail.com</t>
        </is>
      </c>
      <c r="F216" s="3" t="inlineStr">
        <is>
          <t>リハビリテーション科／理学療法士</t>
        </is>
      </c>
      <c r="G216" s="3" t="n">
        <v>32</v>
      </c>
      <c r="H216" s="3" t="n">
        <v>32</v>
      </c>
      <c r="I216" s="3" t="n">
        <v>0</v>
      </c>
      <c r="J216" s="3" t="inlineStr">
        <is>
          <t>届け出をしておらず、検討もしていない</t>
        </is>
      </c>
      <c r="K216" s="3" t="inlineStr">
        <is>
          <t>実施していない</t>
        </is>
      </c>
      <c r="L216" s="3" t="inlineStr">
        <is>
          <t>全症例の0％〜24％程度</t>
        </is>
      </c>
      <c r="N216" s="3" t="inlineStr">
        <is>
          <t>全症例の0％〜24％程度</t>
        </is>
      </c>
      <c r="P216" s="3" t="inlineStr">
        <is>
          <t>全症例の0％〜24％程度</t>
        </is>
      </c>
      <c r="R216" s="3" t="inlineStr">
        <is>
          <t>全症例の0％〜24％程度</t>
        </is>
      </c>
      <c r="T216" s="3" t="inlineStr">
        <is>
          <t>実施していない</t>
        </is>
      </c>
      <c r="U216" s="3" t="inlineStr">
        <is>
          <t>時間的余裕がない</t>
        </is>
      </c>
      <c r="V216" s="3" t="inlineStr">
        <is>
          <t>実施していない</t>
        </is>
      </c>
      <c r="W216" s="3" t="inlineStr">
        <is>
          <t>時間的余裕がない</t>
        </is>
      </c>
      <c r="X216" s="3" t="inlineStr">
        <is>
          <t>実施していない</t>
        </is>
      </c>
      <c r="Y216" s="3" t="inlineStr">
        <is>
          <t>時間的余裕がない</t>
        </is>
      </c>
      <c r="Z216" s="3" t="inlineStr">
        <is>
          <t>Barthel Index（BI）</t>
        </is>
      </c>
      <c r="AB216" s="3" t="inlineStr">
        <is>
          <t>MMSE, HDS-R</t>
        </is>
      </c>
      <c r="AD216" s="3" t="inlineStr">
        <is>
          <t>過去の転倒歴, ベッド周囲および病室環境</t>
        </is>
      </c>
      <c r="AF216" s="3" t="inlineStr">
        <is>
          <t>決まっていない</t>
        </is>
      </c>
      <c r="AH216" s="3" t="inlineStr">
        <is>
          <t xml:space="preserve">FLS活動の一環ではなく、院内での医療安全委員会（リハ技師長を含む）が週1回で実施しております。
</t>
        </is>
      </c>
      <c r="AI216" s="3" t="inlineStr">
        <is>
          <t>下肢筋力強化, バランス練習, 歩行練習, 歩容改善, 起立、着座動作練習, 環境調整, 補助具、装具の適正化, 認知面への介入, 教育、指導</t>
        </is>
      </c>
    </row>
    <row r="217" ht="22.5" customHeight="1">
      <c r="A217" s="32" t="n">
        <v>46104.7476996875</v>
      </c>
      <c r="B217" s="3" t="inlineStr">
        <is>
          <t>作間　直美</t>
        </is>
      </c>
      <c r="C217" s="3" t="inlineStr">
        <is>
          <t>県北医療センター　高萩協同病院</t>
        </is>
      </c>
      <c r="D217" s="3" t="inlineStr">
        <is>
          <t>茨城県</t>
        </is>
      </c>
      <c r="E217" s="3" t="inlineStr">
        <is>
          <t>takahagikyoudouriha@gmail.com</t>
        </is>
      </c>
      <c r="F217" s="3" t="inlineStr">
        <is>
          <t xml:space="preserve">リハビリテーション部　作業療法士　</t>
        </is>
      </c>
      <c r="G217" s="3" t="n">
        <v>138</v>
      </c>
      <c r="H217" s="3" t="n">
        <v>7</v>
      </c>
      <c r="I217" s="3" t="n">
        <v>4</v>
      </c>
      <c r="J217" s="3" t="inlineStr">
        <is>
          <t>届け出をしておらず、検討もしていない</t>
        </is>
      </c>
      <c r="K217" s="3" t="inlineStr">
        <is>
          <t>関節可動域運動, 筋力増強運動, リラクセーション, ポジショニング, 自主運動指導, 離床（例：車椅子移乗,立位,歩行など）</t>
        </is>
      </c>
      <c r="L217" s="3" t="inlineStr">
        <is>
          <t>全症例の25％〜49％程度</t>
        </is>
      </c>
      <c r="N217" s="3" t="inlineStr">
        <is>
          <t>全症例の50％〜74％程度</t>
        </is>
      </c>
      <c r="O217" s="3" t="inlineStr">
        <is>
          <t>介助量を多めにし安全に離床を促していく</t>
        </is>
      </c>
      <c r="P217" s="3" t="inlineStr">
        <is>
          <t>全症例の25％〜49％程度</t>
        </is>
      </c>
      <c r="R217" s="3" t="inlineStr">
        <is>
          <t>全症例の0％〜24％程度</t>
        </is>
      </c>
      <c r="T217" s="3" t="inlineStr">
        <is>
          <t>握力, 5回椅子立ち上がりテスト, 歩行速度, SPPB, 下腿周径</t>
        </is>
      </c>
      <c r="V217" s="3" t="inlineStr">
        <is>
          <t>握力, SPPB</t>
        </is>
      </c>
      <c r="X217" s="3" t="inlineStr">
        <is>
          <t>立ち上がりテスト, 2ステップテスト</t>
        </is>
      </c>
      <c r="Z217" s="3" t="inlineStr">
        <is>
          <t>Barthel Index（BI）</t>
        </is>
      </c>
      <c r="AB217" s="3" t="inlineStr">
        <is>
          <t>HDS-R</t>
        </is>
      </c>
      <c r="AD217" s="3" t="inlineStr">
        <is>
          <t>実施していない</t>
        </is>
      </c>
      <c r="AE217" s="3" t="inlineStr">
        <is>
          <t>術後は定期検査としては指定していない、各自評価による</t>
        </is>
      </c>
      <c r="AI217" s="3" t="inlineStr">
        <is>
          <t>下肢筋力強化, バランス練習, 歩行練習, 歩容改善, 起立、着座動作練習, 環境調整, 補助具、装具の適正化, 教育、指導</t>
        </is>
      </c>
    </row>
    <row r="218" ht="22.5" customHeight="1">
      <c r="A218" s="32" t="n">
        <v>46104.78061121528</v>
      </c>
      <c r="B218" s="3" t="inlineStr">
        <is>
          <t>森末　孝昭</t>
        </is>
      </c>
      <c r="C218" s="3" t="inlineStr">
        <is>
          <t>市立三次中央病院</t>
        </is>
      </c>
      <c r="D218" s="3" t="inlineStr">
        <is>
          <t>広島県</t>
        </is>
      </c>
      <c r="E218" s="3" t="inlineStr">
        <is>
          <t>t.morisue0603@city.miyoshi.hiroshima.jp</t>
        </is>
      </c>
      <c r="F218" s="3" t="inlineStr">
        <is>
          <t>診療技術部リハビリテーション科／理学療法士</t>
        </is>
      </c>
      <c r="G218" s="3" t="n">
        <v>135</v>
      </c>
      <c r="H218" s="3" t="n">
        <v>4</v>
      </c>
      <c r="I218" s="3" t="n">
        <v>0</v>
      </c>
      <c r="J218" s="3" t="inlineStr">
        <is>
          <t>届け出はしていないが、現在検討中である</t>
        </is>
      </c>
      <c r="K218" s="3" t="inlineStr">
        <is>
          <t>実施していない</t>
        </is>
      </c>
      <c r="L218" s="3" t="inlineStr">
        <is>
          <t>全症例の25％〜49％程度</t>
        </is>
      </c>
      <c r="N218" s="3" t="inlineStr">
        <is>
          <t>全症例の0％〜24％程度</t>
        </is>
      </c>
      <c r="P218" s="3" t="inlineStr">
        <is>
          <t>全症例の25％〜49％程度</t>
        </is>
      </c>
      <c r="R218" s="3" t="inlineStr">
        <is>
          <t>全症例の0％〜24％程度</t>
        </is>
      </c>
      <c r="T218" s="3" t="inlineStr">
        <is>
          <t>膝伸展筋力, 歩行速度, SPPB, 開眼片脚立位時間</t>
        </is>
      </c>
      <c r="V218" s="3" t="inlineStr">
        <is>
          <t>認知機能</t>
        </is>
      </c>
      <c r="X218" s="3" t="inlineStr">
        <is>
          <t>実施していない</t>
        </is>
      </c>
      <c r="Z218" s="3" t="inlineStr">
        <is>
          <t>FIM</t>
        </is>
      </c>
      <c r="AB218" s="3" t="inlineStr">
        <is>
          <t>HDS-R</t>
        </is>
      </c>
      <c r="AD218" s="3" t="inlineStr">
        <is>
          <t>10m歩行速度, SPPB、Functional Reach Test（FRT）, 5回椅子立ち上がりテスト, 認知機能</t>
        </is>
      </c>
      <c r="AF218" s="3" t="inlineStr">
        <is>
          <t>決まっていない</t>
        </is>
      </c>
      <c r="AI218" s="3" t="inlineStr">
        <is>
          <t>下肢筋力強化, バランス練習, 歩行練習, 歩容改善, 起立、着座動作練習, 環境調整, 補助具、装具の適正化, 認知面への介入, 行動面への介入, 薬剤調整, 教育、指導</t>
        </is>
      </c>
    </row>
    <row r="219" ht="22.5" customHeight="1">
      <c r="A219" s="32" t="n">
        <v>46104.79270173611</v>
      </c>
      <c r="B219" s="3" t="inlineStr">
        <is>
          <t>野口裕貴</t>
        </is>
      </c>
      <c r="C219" s="3" t="inlineStr">
        <is>
          <t>製鉄記念八幡病院</t>
        </is>
      </c>
      <c r="D219" s="3" t="inlineStr">
        <is>
          <t>福岡県</t>
        </is>
      </c>
      <c r="E219" s="3" t="inlineStr">
        <is>
          <t>noguchi.h@ns.yawata-mhp.or.jp</t>
        </is>
      </c>
      <c r="F219" s="3" t="inlineStr">
        <is>
          <t>リハビリテーション部／理学療法士</t>
        </is>
      </c>
      <c r="G219" s="3" t="n">
        <v>136</v>
      </c>
      <c r="H219" s="3" t="n">
        <v>16</v>
      </c>
      <c r="I219" s="3" t="n">
        <v>10</v>
      </c>
      <c r="J219" s="3" t="inlineStr">
        <is>
          <t>届け出をしておらず、検討もしていない</t>
        </is>
      </c>
      <c r="K219" s="3" t="inlineStr">
        <is>
          <t>関節可動域運動, 筋力増強運動, 呼吸リハビリテーション, DVT予防</t>
        </is>
      </c>
      <c r="L219" s="3" t="inlineStr">
        <is>
          <t>全症例の75％〜100％程度</t>
        </is>
      </c>
      <c r="M219" s="3" t="inlineStr">
        <is>
          <t>補助鎮痛薬使用、TENS使用、部分免荷歩行器使用</t>
        </is>
      </c>
      <c r="N219" s="3" t="inlineStr">
        <is>
          <t>全症例の25％〜49％程度</t>
        </is>
      </c>
      <c r="P219" s="3" t="inlineStr">
        <is>
          <t>全症例の25％〜49％程度</t>
        </is>
      </c>
      <c r="R219" s="3" t="inlineStr">
        <is>
          <t>全症例の0％〜24％程度</t>
        </is>
      </c>
      <c r="T219" s="3" t="inlineStr">
        <is>
          <t>5回椅子立ち上がりテスト, 歩行速度, SPPB</t>
        </is>
      </c>
      <c r="V219" s="3" t="inlineStr">
        <is>
          <t>認知機能</t>
        </is>
      </c>
      <c r="X219" s="3" t="inlineStr">
        <is>
          <t>実施していない</t>
        </is>
      </c>
      <c r="Y219" s="3" t="inlineStr">
        <is>
          <t>急性期で実施困難なことが多いため</t>
        </is>
      </c>
      <c r="Z219" s="3" t="inlineStr">
        <is>
          <t>Barthel Index（BI）, FIM</t>
        </is>
      </c>
      <c r="AB219" s="3" t="inlineStr">
        <is>
          <t>HDS-R, AMTS</t>
        </is>
      </c>
      <c r="AD219" s="3" t="inlineStr">
        <is>
          <t>TUG, SPPB、Functional Reach Test（FRT）, 5回椅子立ち上がりテスト, 認知機能</t>
        </is>
      </c>
      <c r="AF219" s="3" t="inlineStr">
        <is>
          <t>決まっている</t>
        </is>
      </c>
      <c r="AG219" s="3" t="inlineStr">
        <is>
          <t>急性期退院時</t>
        </is>
      </c>
      <c r="AI219" s="3" t="inlineStr">
        <is>
          <t>下肢筋力強化, バランス練習, 歩行練習, 歩容改善, 起立、着座動作練習, 環境調整, 補助具、装具の適正化, 認知面への介入, 行動面への介入</t>
        </is>
      </c>
    </row>
    <row r="220" ht="22.5" customHeight="1">
      <c r="A220" s="32" t="n">
        <v>46104.79428035879</v>
      </c>
      <c r="B220" s="3" t="inlineStr">
        <is>
          <t>棚橋　竜貴</t>
        </is>
      </c>
      <c r="C220" s="3" t="inlineStr">
        <is>
          <t>国家公務員共済組合連合会　東海病院</t>
        </is>
      </c>
      <c r="D220" s="3" t="inlineStr">
        <is>
          <t>愛知県</t>
        </is>
      </c>
      <c r="E220" s="3" t="inlineStr">
        <is>
          <t>reha@toukaihosp.jp</t>
        </is>
      </c>
      <c r="F220" s="3" t="inlineStr">
        <is>
          <t>リハビリテーション科/理学療法士</t>
        </is>
      </c>
      <c r="G220" s="3" t="n">
        <v>60</v>
      </c>
      <c r="H220" s="3" t="n">
        <v>8</v>
      </c>
      <c r="I220" s="3" t="n">
        <v>3</v>
      </c>
      <c r="J220" s="3" t="inlineStr">
        <is>
          <t>届け出はしていないが、現在検討中である</t>
        </is>
      </c>
      <c r="K220" s="3" t="inlineStr">
        <is>
          <t>実施していない</t>
        </is>
      </c>
      <c r="L220" s="3" t="inlineStr">
        <is>
          <t>全症例の0％〜24％程度</t>
        </is>
      </c>
      <c r="N220" s="3" t="inlineStr">
        <is>
          <t>全症例の0％〜24％程度</t>
        </is>
      </c>
      <c r="P220" s="3" t="inlineStr">
        <is>
          <t>全症例の0％〜24％程度</t>
        </is>
      </c>
      <c r="R220" s="3" t="inlineStr">
        <is>
          <t>全症例の0％〜24％程度</t>
        </is>
      </c>
      <c r="T220" s="3" t="inlineStr">
        <is>
          <t>握力, TUG, 開眼片脚立位時間</t>
        </is>
      </c>
      <c r="V220" s="3" t="inlineStr">
        <is>
          <t>TUG, 握力</t>
        </is>
      </c>
      <c r="X220" s="3" t="inlineStr">
        <is>
          <t>実施していない</t>
        </is>
      </c>
      <c r="Z220" s="3" t="inlineStr">
        <is>
          <t>Barthel Index（BI）</t>
        </is>
      </c>
      <c r="AB220" s="3" t="inlineStr">
        <is>
          <t>HDS-R</t>
        </is>
      </c>
      <c r="AD220" s="3" t="inlineStr">
        <is>
          <t>開眼片脚立位時間, TUG, 過去の転倒歴, 既往疾患の有無（脳血管疾患、パーキンソン病など）, ベッド周囲および病室環境</t>
        </is>
      </c>
      <c r="AF220" s="3" t="inlineStr">
        <is>
          <t>決まっていない</t>
        </is>
      </c>
      <c r="AH220" s="3" t="inlineStr">
        <is>
          <t>退院前に評価を実施するが、患者により術後の経過日数が異なるため</t>
        </is>
      </c>
      <c r="AI220" s="3" t="inlineStr">
        <is>
          <t>下肢筋力強化, バランス練習, 歩行練習, 歩容改善, 起立、着座動作練習, 環境調整, 補助具、装具の適正化, 認知面への介入, 行動面への介入, 教育、指導</t>
        </is>
      </c>
    </row>
    <row r="221" ht="22.5" customHeight="1">
      <c r="A221" s="32" t="n">
        <v>46104.81253033565</v>
      </c>
      <c r="B221" s="3" t="inlineStr">
        <is>
          <t>矢島波</t>
        </is>
      </c>
      <c r="C221" s="3" t="inlineStr">
        <is>
          <t>西宮渡辺病院</t>
        </is>
      </c>
      <c r="D221" s="3" t="inlineStr">
        <is>
          <t>兵庫県</t>
        </is>
      </c>
      <c r="E221" s="3" t="inlineStr">
        <is>
          <t>yashinami1031@icloud.com</t>
        </is>
      </c>
      <c r="F221" s="3" t="inlineStr">
        <is>
          <t>リハビリテーション科/理学療法士</t>
        </is>
      </c>
      <c r="G221" s="3" t="n">
        <v>100</v>
      </c>
      <c r="H221" s="3" t="n">
        <v>25</v>
      </c>
      <c r="I221" s="3" t="n">
        <v>5</v>
      </c>
      <c r="J221" s="3" t="inlineStr">
        <is>
          <t>現在、算定している</t>
        </is>
      </c>
      <c r="K221" s="3" t="inlineStr">
        <is>
          <t>関節可動域運動, 筋力増強運動, DVT予防, リラクセーション, ポジショニング, 自主運動指導, 術後リハビリテーションのオリエンテーション</t>
        </is>
      </c>
      <c r="L221" s="3" t="inlineStr">
        <is>
          <t>全症例の25％〜49％程度</t>
        </is>
      </c>
      <c r="N221" s="3" t="inlineStr">
        <is>
          <t>全症例の25％〜49％程度</t>
        </is>
      </c>
      <c r="P221" s="3" t="inlineStr">
        <is>
          <t>全症例の25％〜49％程度</t>
        </is>
      </c>
      <c r="R221" s="3" t="inlineStr">
        <is>
          <t>全症例の0％〜24％程度</t>
        </is>
      </c>
      <c r="T221" s="3" t="inlineStr">
        <is>
          <t>握力, 歩行速度, TUG</t>
        </is>
      </c>
      <c r="V221" s="3" t="inlineStr">
        <is>
          <t>TUG, 握力</t>
        </is>
      </c>
      <c r="X221" s="3" t="inlineStr">
        <is>
          <t>実施していない</t>
        </is>
      </c>
      <c r="Y221" s="3" t="inlineStr">
        <is>
          <t>他の評価で転倒リスクを評価している</t>
        </is>
      </c>
      <c r="Z221" s="3" t="inlineStr">
        <is>
          <t>Barthel Index（BI）, FIM</t>
        </is>
      </c>
      <c r="AB221" s="3" t="inlineStr">
        <is>
          <t>MMSE, HDS-R</t>
        </is>
      </c>
      <c r="AD221" s="3" t="inlineStr">
        <is>
          <t>TUG, 10m歩行速度, ベッド周囲および病室環境</t>
        </is>
      </c>
      <c r="AF221" s="3" t="inlineStr">
        <is>
          <t>決まっていない</t>
        </is>
      </c>
      <c r="AH221" s="3" t="inlineStr">
        <is>
          <t>評価をとれる時期が人によって異なるため</t>
        </is>
      </c>
      <c r="AI221" s="3" t="inlineStr">
        <is>
          <t>下肢筋力強化, バランス練習, 歩行練習, 歩容改善, 起立、着座動作練習, 環境調整, 補助具、装具の適正化, 認知面への介入, 行動面への介入, 教育、指導</t>
        </is>
      </c>
    </row>
    <row r="222" ht="22.5" customHeight="1">
      <c r="A222" s="32" t="n">
        <v>46104.81925615741</v>
      </c>
      <c r="B222" s="3" t="inlineStr">
        <is>
          <t>佐藤文寛</t>
        </is>
      </c>
      <c r="C222" s="3" t="inlineStr">
        <is>
          <t>京都第一赤十字病院</t>
        </is>
      </c>
      <c r="D222" s="3" t="inlineStr">
        <is>
          <t>京都府</t>
        </is>
      </c>
      <c r="E222" s="3" t="inlineStr">
        <is>
          <t>fumi6684@gmail.com</t>
        </is>
      </c>
      <c r="F222" s="3" t="inlineStr">
        <is>
          <t>リハビリテーション科　理学療法士</t>
        </is>
      </c>
      <c r="G222" s="3" t="n">
        <v>84</v>
      </c>
      <c r="H222" s="3" t="n">
        <v>20.5</v>
      </c>
      <c r="I222" s="3" t="n">
        <v>0</v>
      </c>
      <c r="J222" s="3" t="inlineStr">
        <is>
          <t>届け出をしておらず、検討もしていない</t>
        </is>
      </c>
      <c r="K222" s="3" t="inlineStr">
        <is>
          <t>関節可動域運動, 筋力増強運動, 呼吸リハビリテーション, DVT予防, リラクセーション, ポジショニング, 自主運動指導, 術後リハビリテーションのオリエンテーション, 離床（例：車椅子移乗,立位,歩行など）</t>
        </is>
      </c>
      <c r="L222" s="3" t="inlineStr">
        <is>
          <t>全症例の0％〜24％程度</t>
        </is>
      </c>
      <c r="N222" s="3" t="inlineStr">
        <is>
          <t>全症例の0％〜24％程度</t>
        </is>
      </c>
      <c r="P222" s="3" t="inlineStr">
        <is>
          <t>全症例の0％〜24％程度</t>
        </is>
      </c>
      <c r="R222" s="3" t="inlineStr">
        <is>
          <t>全症例の0％〜24％程度</t>
        </is>
      </c>
      <c r="T222" s="3" t="inlineStr">
        <is>
          <t>握力, 5回椅子立ち上がりテスト, 歩行速度, 下腿周径, SARC-F</t>
        </is>
      </c>
      <c r="V222" s="3" t="inlineStr">
        <is>
          <t>TUG, 握力</t>
        </is>
      </c>
      <c r="X222" s="3" t="inlineStr">
        <is>
          <t>立ち上がりテスト</t>
        </is>
      </c>
      <c r="Z222" s="3" t="inlineStr">
        <is>
          <t>Barthel Index（BI）, FIM</t>
        </is>
      </c>
      <c r="AB222" s="3" t="inlineStr">
        <is>
          <t>実施していない</t>
        </is>
      </c>
      <c r="AC222" s="3" t="inlineStr">
        <is>
          <t>業務負担となるため</t>
        </is>
      </c>
      <c r="AD222" s="3" t="inlineStr">
        <is>
          <t>TUG, 10m歩行速度</t>
        </is>
      </c>
      <c r="AF222" s="3" t="inlineStr">
        <is>
          <t>決まっている</t>
        </is>
      </c>
      <c r="AG222" s="3" t="inlineStr">
        <is>
          <t>初回と最終日</t>
        </is>
      </c>
      <c r="AI222" s="3" t="inlineStr">
        <is>
          <t>下肢筋力強化, バランス練習, 歩行練習, 歩容改善, 起立、着座動作練習, 環境調整, 補助具、装具の適正化, 教育、指導</t>
        </is>
      </c>
    </row>
    <row r="223" ht="22.5" customHeight="1">
      <c r="A223" s="32" t="n">
        <v>46104.90035166666</v>
      </c>
      <c r="B223" s="3" t="inlineStr">
        <is>
          <t>江尻真由美</t>
        </is>
      </c>
      <c r="C223" s="3" t="inlineStr">
        <is>
          <t>市立砺波総合病院</t>
        </is>
      </c>
      <c r="D223" s="3" t="inlineStr">
        <is>
          <t>富山県</t>
        </is>
      </c>
      <c r="E223" s="3" t="inlineStr">
        <is>
          <t>mayumi.ejiri@med.tonami.toyama.jp</t>
        </is>
      </c>
      <c r="F223" s="3" t="inlineStr">
        <is>
          <t>総合リハビリテーションセンター/理学療法士</t>
        </is>
      </c>
      <c r="G223" s="3" t="n">
        <v>83</v>
      </c>
      <c r="H223" s="3" t="n">
        <v>16.5</v>
      </c>
      <c r="I223" s="3" t="n">
        <v>3</v>
      </c>
      <c r="J223" s="3" t="inlineStr">
        <is>
          <t>届け出をしておらず、検討もしていない</t>
        </is>
      </c>
      <c r="K223" s="3" t="inlineStr">
        <is>
          <t>実施していない</t>
        </is>
      </c>
      <c r="L223" s="3" t="inlineStr">
        <is>
          <t>全症例の25％〜49％程度</t>
        </is>
      </c>
      <c r="N223" s="3" t="inlineStr">
        <is>
          <t>全症例の0％〜24％程度</t>
        </is>
      </c>
      <c r="P223" s="3" t="inlineStr">
        <is>
          <t>全症例の0％〜24％程度</t>
        </is>
      </c>
      <c r="R223" s="3" t="inlineStr">
        <is>
          <t>全症例の0％〜24％程度</t>
        </is>
      </c>
      <c r="T223" s="3" t="inlineStr">
        <is>
          <t>実施していない</t>
        </is>
      </c>
      <c r="V223" s="3" t="inlineStr">
        <is>
          <t>実施していない</t>
        </is>
      </c>
      <c r="X223" s="3" t="inlineStr">
        <is>
          <t>立ち上がりテスト, 2ステップテスト, ロコモ25（質問票）</t>
        </is>
      </c>
      <c r="Z223" s="3" t="inlineStr">
        <is>
          <t>FIM</t>
        </is>
      </c>
      <c r="AB223" s="3" t="inlineStr">
        <is>
          <t>HDS-R, AMTS</t>
        </is>
      </c>
      <c r="AD223" s="3" t="inlineStr">
        <is>
          <t>SPPB、Functional Reach Test（FRT）</t>
        </is>
      </c>
      <c r="AF223" s="3" t="inlineStr">
        <is>
          <t>決まっていない</t>
        </is>
      </c>
      <c r="AH223" s="3" t="inlineStr">
        <is>
          <t>特にない</t>
        </is>
      </c>
      <c r="AI223" s="3" t="inlineStr">
        <is>
          <t>下肢筋力強化, 起立、着座動作練習, 環境調整</t>
        </is>
      </c>
    </row>
    <row r="224" ht="22.5" customHeight="1">
      <c r="A224" s="32" t="n">
        <v>46105.57908108796</v>
      </c>
      <c r="B224" s="3" t="inlineStr">
        <is>
          <t>理学療法士</t>
        </is>
      </c>
      <c r="C224" s="3" t="inlineStr">
        <is>
          <t>秀和総合病院</t>
        </is>
      </c>
      <c r="D224" s="3" t="inlineStr">
        <is>
          <t>埼玉県</t>
        </is>
      </c>
      <c r="E224" s="3" t="inlineStr">
        <is>
          <t>rehapt@shuuwa-gh.or.jp</t>
        </is>
      </c>
      <c r="F224" s="3" t="inlineStr">
        <is>
          <t>リハビリテーション科</t>
        </is>
      </c>
      <c r="G224" s="3" t="n">
        <v>122</v>
      </c>
      <c r="H224" s="3" t="n">
        <v>11</v>
      </c>
      <c r="I224" s="3" t="n">
        <v>0</v>
      </c>
      <c r="J224" s="3" t="inlineStr">
        <is>
          <t>届け出はしていないが、現在検討中である</t>
        </is>
      </c>
      <c r="K224" s="3" t="inlineStr">
        <is>
          <t>実施していない</t>
        </is>
      </c>
      <c r="L224" s="3" t="inlineStr">
        <is>
          <t>全症例の25％〜49％程度</t>
        </is>
      </c>
      <c r="N224" s="3" t="inlineStr">
        <is>
          <t>全症例の0％〜24％程度</t>
        </is>
      </c>
      <c r="P224" s="3" t="inlineStr">
        <is>
          <t>全症例の0％〜24％程度</t>
        </is>
      </c>
      <c r="R224" s="3" t="inlineStr">
        <is>
          <t>全症例の0％〜24％程度</t>
        </is>
      </c>
      <c r="T224" s="3" t="inlineStr">
        <is>
          <t>握力, TUG, 6分間歩行距離</t>
        </is>
      </c>
      <c r="V224" s="3" t="inlineStr">
        <is>
          <t>TUG</t>
        </is>
      </c>
      <c r="X224" s="3" t="inlineStr">
        <is>
          <t>立ち上がりテスト</t>
        </is>
      </c>
      <c r="Z224" s="3" t="inlineStr">
        <is>
          <t>Barthel Index（BI）, FIM</t>
        </is>
      </c>
      <c r="AB224" s="3" t="inlineStr">
        <is>
          <t>MMSE, HDS-R, AMTS</t>
        </is>
      </c>
      <c r="AD224" s="3" t="inlineStr">
        <is>
          <t>TUG</t>
        </is>
      </c>
      <c r="AF224" s="3" t="inlineStr">
        <is>
          <t>決まっている</t>
        </is>
      </c>
      <c r="AG224" s="3" t="inlineStr">
        <is>
          <t>10日目</t>
        </is>
      </c>
      <c r="AI224" s="3" t="inlineStr">
        <is>
          <t>下肢筋力強化, バランス練習, 歩行練習, 歩容改善, 起立、着座動作練習, 環境調整, 補助具、装具の適正化</t>
        </is>
      </c>
    </row>
    <row r="225" ht="22.5" customHeight="1">
      <c r="A225" s="32" t="n">
        <v>46105.59416381944</v>
      </c>
      <c r="B225" s="3" t="inlineStr">
        <is>
          <t>阿部　智充</t>
        </is>
      </c>
      <c r="C225" s="3" t="inlineStr">
        <is>
          <t>北見赤十字病院</t>
        </is>
      </c>
      <c r="D225" s="3" t="inlineStr">
        <is>
          <t>北海道</t>
        </is>
      </c>
      <c r="E225" s="3" t="inlineStr">
        <is>
          <t>abe.norimitsu10045144@gmai.com</t>
        </is>
      </c>
      <c r="F225" s="3" t="inlineStr">
        <is>
          <t>医療技術部リハビリテーション科/理学療法士</t>
        </is>
      </c>
      <c r="G225" s="3" t="n">
        <v>274</v>
      </c>
      <c r="H225" s="3" t="n">
        <v>26</v>
      </c>
      <c r="I225" s="3" t="n">
        <v>0</v>
      </c>
      <c r="J225" s="3" t="inlineStr">
        <is>
          <t>届け出はしているが、算定していない</t>
        </is>
      </c>
      <c r="K225" s="3" t="inlineStr">
        <is>
          <t>関節可動域運動, 筋力増強運動, 自主運動指導, 術後リハビリテーションのオリエンテーション</t>
        </is>
      </c>
      <c r="L225" s="3" t="inlineStr">
        <is>
          <t>全症例の25％〜49％程度</t>
        </is>
      </c>
      <c r="N225" s="3" t="inlineStr">
        <is>
          <t>全症例の25％〜49％程度</t>
        </is>
      </c>
      <c r="P225" s="3" t="inlineStr">
        <is>
          <t>全症例の0％〜24％程度</t>
        </is>
      </c>
      <c r="R225" s="3" t="inlineStr">
        <is>
          <t>全症例の0％〜24％程度</t>
        </is>
      </c>
      <c r="T225" s="3" t="inlineStr">
        <is>
          <t>握力, 膝伸展筋力, 5回椅子立ち上がりテスト, 歩行速度, SPPB, 下腿周径, GNRI, MNA-SF</t>
        </is>
      </c>
      <c r="V225" s="3" t="inlineStr">
        <is>
          <t>J-CHS基準, GNRI, MNA-SF, 握力</t>
        </is>
      </c>
      <c r="X225" s="3" t="inlineStr">
        <is>
          <t>実施していない</t>
        </is>
      </c>
      <c r="Y225" s="3" t="inlineStr">
        <is>
          <t>全評価項目が多すぎるため</t>
        </is>
      </c>
      <c r="Z225" s="3" t="inlineStr">
        <is>
          <t>FIM</t>
        </is>
      </c>
      <c r="AB225" s="3" t="inlineStr">
        <is>
          <t>MMSE, AMTS</t>
        </is>
      </c>
      <c r="AD225" s="3" t="inlineStr">
        <is>
          <t>定量的な下肢筋力測定, SPPB、Functional Reach Test（FRT）, 5回椅子立ち上がりテスト, 認知機能, 過去の転倒歴</t>
        </is>
      </c>
      <c r="AF225" s="3" t="inlineStr">
        <is>
          <t>決まっている</t>
        </is>
      </c>
      <c r="AG225" s="3" t="inlineStr">
        <is>
          <t>術後3日、術後2週</t>
        </is>
      </c>
      <c r="AI225" s="3" t="inlineStr">
        <is>
          <t>下肢筋力強化, バランス練習, 歩行練習, 歩容改善, 起立、着座動作練習, 環境調整, 補助具、装具の適正化, 薬剤調整, 教育、指導</t>
        </is>
      </c>
    </row>
    <row r="226" ht="22.5" customHeight="1">
      <c r="A226" s="32" t="n">
        <v>46105.68191942129</v>
      </c>
      <c r="B226" s="3" t="inlineStr">
        <is>
          <t>古谷朋子</t>
        </is>
      </c>
      <c r="C226" s="3" t="inlineStr">
        <is>
          <t>医療法人社団まりも会ヒロシマ平松病院</t>
        </is>
      </c>
      <c r="D226" s="3" t="inlineStr">
        <is>
          <t>広島県</t>
        </is>
      </c>
      <c r="E226" s="3" t="inlineStr">
        <is>
          <t>reha@marimokai.or.jp</t>
        </is>
      </c>
      <c r="F226" s="3" t="inlineStr">
        <is>
          <t>リハビリテーション分/理学療法士</t>
        </is>
      </c>
      <c r="G226" s="3" t="n">
        <v>1660</v>
      </c>
      <c r="H226" s="3" t="n">
        <v>37</v>
      </c>
      <c r="I226" s="3" t="n">
        <v>7</v>
      </c>
      <c r="J226" s="3" t="inlineStr">
        <is>
          <t>届け出はしていないが、現在検討中である</t>
        </is>
      </c>
      <c r="K226" s="3" t="inlineStr">
        <is>
          <t>関節可動域運動, 筋力増強運動, DVT予防, ポジショニング, 自主運動指導, 術後リハビリテーションのオリエンテーション</t>
        </is>
      </c>
      <c r="L226" s="3" t="inlineStr">
        <is>
          <t>全症例の0％〜24％程度</t>
        </is>
      </c>
      <c r="N226" s="3" t="inlineStr">
        <is>
          <t>全症例の0％〜24％程度</t>
        </is>
      </c>
      <c r="P226" s="3" t="inlineStr">
        <is>
          <t>全症例の0％〜24％程度</t>
        </is>
      </c>
      <c r="R226" s="3" t="inlineStr">
        <is>
          <t>全症例の0％〜24％程度</t>
        </is>
      </c>
      <c r="T226" s="3" t="inlineStr">
        <is>
          <t>握力, TUG</t>
        </is>
      </c>
      <c r="V226" s="3" t="inlineStr">
        <is>
          <t>TUG, 握力</t>
        </is>
      </c>
      <c r="X226" s="3" t="inlineStr">
        <is>
          <t>実施していない</t>
        </is>
      </c>
      <c r="Y226" s="3" t="inlineStr">
        <is>
          <t>他の評価で歩行やバランス機能を評価している。</t>
        </is>
      </c>
      <c r="Z226" s="3" t="inlineStr">
        <is>
          <t>Barthel Index（BI）, FIM</t>
        </is>
      </c>
      <c r="AB226" s="3" t="inlineStr">
        <is>
          <t>AMTS</t>
        </is>
      </c>
      <c r="AD226" s="3" t="inlineStr">
        <is>
          <t>開眼片脚立位時間, TUG, 5回椅子立ち上がりテスト</t>
        </is>
      </c>
      <c r="AF226" s="3" t="inlineStr">
        <is>
          <t>決まっている</t>
        </is>
      </c>
      <c r="AG226" s="3" t="inlineStr">
        <is>
          <t>術後2週、退院前日、初回外来診療時、術後120日、術後365日</t>
        </is>
      </c>
      <c r="AI226" s="3" t="inlineStr">
        <is>
          <t>下肢筋力強化, バランス練習, 歩行練習, 歩容改善, 起立、着座動作練習, 環境調整, 補助具、装具の適正化, 教育、指導</t>
        </is>
      </c>
    </row>
    <row r="227" ht="22.5" customHeight="1">
      <c r="A227" s="32" t="n">
        <v>46105.70355605324</v>
      </c>
      <c r="B227" s="3" t="inlineStr">
        <is>
          <t>藤田　八代</t>
        </is>
      </c>
      <c r="C227" s="3" t="inlineStr">
        <is>
          <t>富山県厚生農業協同組合連合会滑川病院</t>
        </is>
      </c>
      <c r="D227" s="3" t="inlineStr">
        <is>
          <t>富山県</t>
        </is>
      </c>
      <c r="E227" s="3" t="inlineStr">
        <is>
          <t>tumuzou-aiko-mama-ykf@docomo.ne.jp</t>
        </is>
      </c>
      <c r="F227" s="3" t="inlineStr">
        <is>
          <t>リハビリテーション部/理学療法士</t>
        </is>
      </c>
      <c r="G227" s="3" t="n">
        <v>66</v>
      </c>
      <c r="H227" s="3" t="n">
        <v>13</v>
      </c>
      <c r="I227" s="3" t="n">
        <v>0</v>
      </c>
      <c r="J227" s="3" t="inlineStr">
        <is>
          <t>届け出をしておらず、検討もしていない</t>
        </is>
      </c>
      <c r="K227" s="3" t="inlineStr">
        <is>
          <t>関節可動域運動, 筋力増強運動, ポジショニング, 自主運動指導, 術後リハビリテーションのオリエンテーション</t>
        </is>
      </c>
      <c r="L227" s="3" t="inlineStr">
        <is>
          <t>全症例の50％〜74％程度</t>
        </is>
      </c>
      <c r="M227" s="3" t="inlineStr">
        <is>
          <t>鎮痛剤の使用時間の調整</t>
        </is>
      </c>
      <c r="N227" s="3" t="inlineStr">
        <is>
          <t>全症例の0％〜24％程度</t>
        </is>
      </c>
      <c r="P227" s="3" t="inlineStr">
        <is>
          <t>全症例の25％〜49％程度</t>
        </is>
      </c>
      <c r="R227" s="3" t="inlineStr">
        <is>
          <t>全症例の0％〜24％程度</t>
        </is>
      </c>
      <c r="T227" s="3" t="inlineStr">
        <is>
          <t>握力, 膝伸展筋力</t>
        </is>
      </c>
      <c r="V227" s="3" t="inlineStr">
        <is>
          <t>認知機能, 握力</t>
        </is>
      </c>
      <c r="X227" s="3" t="inlineStr">
        <is>
          <t>実施していない</t>
        </is>
      </c>
      <c r="Y227" s="3" t="inlineStr">
        <is>
          <t>高齢者も多く、なかなか評価としては実施していない</t>
        </is>
      </c>
      <c r="Z227" s="3" t="inlineStr">
        <is>
          <t>Barthel Index（BI）</t>
        </is>
      </c>
      <c r="AB227" s="3" t="inlineStr">
        <is>
          <t>HDS-R</t>
        </is>
      </c>
      <c r="AD227" s="3" t="inlineStr">
        <is>
          <t>実施していない</t>
        </is>
      </c>
      <c r="AE227" s="3" t="inlineStr">
        <is>
          <t>各々ので評価しているものの、実施を施設内で定めてはいない</t>
        </is>
      </c>
      <c r="AF227" s="3" t="inlineStr">
        <is>
          <t>決まっていない</t>
        </is>
      </c>
      <c r="AH227" s="3" t="inlineStr">
        <is>
          <t>各担当者の都合に合わせ、実施しているため</t>
        </is>
      </c>
      <c r="AI227" s="3" t="inlineStr">
        <is>
          <t>下肢筋力強化, バランス練習, 歩行練習, 歩容改善, 起立、着座動作練習, 環境調整, 補助具、装具の適正化</t>
        </is>
      </c>
    </row>
    <row r="228" ht="22.5" customHeight="1">
      <c r="A228" s="32" t="n">
        <v>46105.73276153935</v>
      </c>
      <c r="B228" s="3" t="inlineStr">
        <is>
          <t>千竃　里美</t>
        </is>
      </c>
      <c r="C228" s="3" t="inlineStr">
        <is>
          <t>碧南市民病院</t>
        </is>
      </c>
      <c r="D228" s="3" t="inlineStr">
        <is>
          <t>愛知県</t>
        </is>
      </c>
      <c r="E228" s="3" t="inlineStr">
        <is>
          <t>rehash@hospital.hekinan.aichi.jp</t>
        </is>
      </c>
      <c r="F228" s="3" t="inlineStr">
        <is>
          <t>リハビリテーション室・理学療法士</t>
        </is>
      </c>
      <c r="G228" s="3" t="n">
        <v>116</v>
      </c>
      <c r="H228" s="3" t="n">
        <v>11</v>
      </c>
      <c r="I228" s="3" t="n">
        <v>5</v>
      </c>
      <c r="J228" s="3" t="inlineStr">
        <is>
          <t>届け出をしておらず、検討もしていない</t>
        </is>
      </c>
      <c r="K228" s="3" t="inlineStr">
        <is>
          <t>筋力増強運動, DVT予防, 自主運動指導, 術後リハビリテーションのオリエンテーション</t>
        </is>
      </c>
      <c r="L228" s="3" t="inlineStr">
        <is>
          <t>全症例の75％〜100％程度</t>
        </is>
      </c>
      <c r="N228" s="3" t="inlineStr">
        <is>
          <t>全症例の0％〜24％程度</t>
        </is>
      </c>
      <c r="P228" s="3" t="inlineStr">
        <is>
          <t>全症例の0％〜24％程度</t>
        </is>
      </c>
      <c r="R228" s="3" t="inlineStr">
        <is>
          <t>全症例の0％〜24％程度</t>
        </is>
      </c>
      <c r="T228" s="3" t="inlineStr">
        <is>
          <t>握力, 膝伸展筋力, TUG</t>
        </is>
      </c>
      <c r="V228" s="3" t="inlineStr">
        <is>
          <t>TUG, 握力</t>
        </is>
      </c>
      <c r="X228" s="3" t="inlineStr">
        <is>
          <t>実施していない</t>
        </is>
      </c>
      <c r="Z228" s="3" t="inlineStr">
        <is>
          <t>Barthel Index（BI）, FIM</t>
        </is>
      </c>
      <c r="AB228" s="3" t="inlineStr">
        <is>
          <t>MMSE, HDS-R, AMTS</t>
        </is>
      </c>
      <c r="AD228" s="3" t="inlineStr">
        <is>
          <t>認知機能, 転倒リスク評価表、術後翌日に立位が可か不可の評価</t>
        </is>
      </c>
      <c r="AF228" s="3" t="inlineStr">
        <is>
          <t>決まっていない</t>
        </is>
      </c>
      <c r="AI228" s="3" t="inlineStr">
        <is>
          <t>下肢筋力強化, 歩行練習, 起立、着座動作練習, 環境調整, 教育、指導</t>
        </is>
      </c>
    </row>
    <row r="229" ht="22.5" customHeight="1">
      <c r="A229" s="32" t="n">
        <v>46105.77224481481</v>
      </c>
      <c r="B229" s="3" t="inlineStr">
        <is>
          <t>青木　隆幸</t>
        </is>
      </c>
      <c r="C229" s="3" t="inlineStr">
        <is>
          <t>知多厚生病院</t>
        </is>
      </c>
      <c r="D229" s="3" t="inlineStr">
        <is>
          <t>愛知県</t>
        </is>
      </c>
      <c r="E229" s="3" t="inlineStr">
        <is>
          <t>t_aoki@chita.jaaikosei.or.jp</t>
        </is>
      </c>
      <c r="F229" s="3" t="inlineStr">
        <is>
          <t>リハビリテーション室/理学療法士</t>
        </is>
      </c>
      <c r="G229" s="3" t="n">
        <v>106</v>
      </c>
      <c r="H229" s="3" t="n">
        <v>16</v>
      </c>
      <c r="I229" s="3" t="n">
        <v>12</v>
      </c>
      <c r="J229" s="3" t="inlineStr">
        <is>
          <t>届け出はしていないが、現在検討中である</t>
        </is>
      </c>
      <c r="K229" s="3" t="inlineStr">
        <is>
          <t>実施していない</t>
        </is>
      </c>
      <c r="L229" s="3" t="inlineStr">
        <is>
          <t>全症例の0％〜24％程度</t>
        </is>
      </c>
      <c r="N229" s="3" t="inlineStr">
        <is>
          <t>全症例の0％〜24％程度</t>
        </is>
      </c>
      <c r="P229" s="3" t="inlineStr">
        <is>
          <t>全症例の25％〜49％程度</t>
        </is>
      </c>
      <c r="R229" s="3" t="inlineStr">
        <is>
          <t>全症例の0％〜24％程度</t>
        </is>
      </c>
      <c r="T229" s="3" t="inlineStr">
        <is>
          <t>握力, 膝伸展筋力, 5回椅子立ち上がりテスト, 歩行速度, TUG</t>
        </is>
      </c>
      <c r="V229" s="3" t="inlineStr">
        <is>
          <t>TUG, 握力</t>
        </is>
      </c>
      <c r="X229" s="3" t="inlineStr">
        <is>
          <t>2ステップテスト</t>
        </is>
      </c>
      <c r="Z229" s="3" t="inlineStr">
        <is>
          <t>FIM</t>
        </is>
      </c>
      <c r="AB229" s="3" t="inlineStr">
        <is>
          <t>MMSE, HDS-R</t>
        </is>
      </c>
      <c r="AD229" s="3" t="inlineStr">
        <is>
          <t>実施していない</t>
        </is>
      </c>
      <c r="AE229" s="3" t="inlineStr">
        <is>
          <t>活動の一環としては実施していない。患者状態によって評価項目を選択して実施している</t>
        </is>
      </c>
      <c r="AI229" s="3" t="inlineStr">
        <is>
          <t>下肢筋力強化, バランス練習, 歩行練習, 教育、指導</t>
        </is>
      </c>
    </row>
    <row r="230" ht="22.5" customHeight="1">
      <c r="A230" s="32" t="n">
        <v>46105.82606065973</v>
      </c>
      <c r="B230" s="3" t="inlineStr">
        <is>
          <t>廣重 愼一</t>
        </is>
      </c>
      <c r="C230" s="3" t="inlineStr">
        <is>
          <t>地方独立行政法人長崎市立病院機構 長崎みなとメディカルセンター</t>
        </is>
      </c>
      <c r="D230" s="3" t="inlineStr">
        <is>
          <t>長崎県</t>
        </is>
      </c>
      <c r="E230" s="3" t="inlineStr">
        <is>
          <t>hiroshige_shinichi@ncho.jp</t>
        </is>
      </c>
      <c r="F230" s="3" t="inlineStr">
        <is>
          <t>リハビリテーション部/理学療法士</t>
        </is>
      </c>
      <c r="G230" s="3" t="n">
        <v>122</v>
      </c>
      <c r="H230" s="3" t="n">
        <v>5</v>
      </c>
      <c r="I230" s="3" t="n">
        <v>2</v>
      </c>
      <c r="J230" s="3" t="inlineStr">
        <is>
          <t>届け出はしていないが、現在検討中である</t>
        </is>
      </c>
      <c r="K230" s="3" t="inlineStr">
        <is>
          <t>関節可動域運動, DVT予防, リラクセーション, ポジショニング, 自主運動指導, 術後リハビリテーションのオリエンテーション</t>
        </is>
      </c>
      <c r="L230" s="3" t="inlineStr">
        <is>
          <t>全症例の50％〜74％程度</t>
        </is>
      </c>
      <c r="M230" s="3" t="inlineStr">
        <is>
          <t>術創部の疼痛緩和目的に、リハ開始30分前に鎮痛薬の内服を実施。また、PTOTが午前午後に分けて、少量頻回の関与を行っている。</t>
        </is>
      </c>
      <c r="N230" s="3" t="inlineStr">
        <is>
          <t>全症例の25％〜49％程度</t>
        </is>
      </c>
      <c r="P230" s="3" t="inlineStr">
        <is>
          <t>全症例の25％〜49％程度</t>
        </is>
      </c>
      <c r="R230" s="3" t="inlineStr">
        <is>
          <t>全症例の0％〜24％程度</t>
        </is>
      </c>
      <c r="T230" s="3" t="inlineStr">
        <is>
          <t>下腿周径, ABMS-Ⅱ</t>
        </is>
      </c>
      <c r="V230" s="3" t="inlineStr">
        <is>
          <t>認知機能, 抑うつや意欲低下</t>
        </is>
      </c>
      <c r="X230" s="3" t="inlineStr">
        <is>
          <t>実施していない</t>
        </is>
      </c>
      <c r="Y230" s="3" t="inlineStr">
        <is>
          <t>術後２週程度で転院のため、ロコモティブシンドロームの評価まで実施できていないケースが多い。</t>
        </is>
      </c>
      <c r="Z230" s="3" t="inlineStr">
        <is>
          <t>Barthel Index（BI）</t>
        </is>
      </c>
      <c r="AB230" s="3" t="inlineStr">
        <is>
          <t>MMSE, J-NCS</t>
        </is>
      </c>
      <c r="AD230" s="3" t="inlineStr">
        <is>
          <t>定量的な下肢筋力測定, 認知機能, 注意障害, せん妄, 過去の転倒歴, ABMS-Ⅱ</t>
        </is>
      </c>
      <c r="AF230" s="3" t="inlineStr">
        <is>
          <t>決まっている</t>
        </is>
      </c>
      <c r="AG230" s="3" t="inlineStr">
        <is>
          <t>1、3、5、7日目</t>
        </is>
      </c>
      <c r="AI230" s="3" t="inlineStr">
        <is>
          <t>下肢筋力強化, バランス練習, 歩行練習, 歩容改善, 起立、着座動作練習, 環境調整, 補助具、装具の適正化, 認知面への介入, 行動面への介入, 薬剤調整, 教育、指導</t>
        </is>
      </c>
    </row>
    <row r="231" ht="22.5" customHeight="1">
      <c r="A231" s="32" t="n">
        <v>46106.44343371528</v>
      </c>
      <c r="B231" s="3" t="inlineStr">
        <is>
          <t>栗原大翼</t>
        </is>
      </c>
      <c r="C231" s="3" t="inlineStr">
        <is>
          <t>医療法人社団弘人会中田病院</t>
        </is>
      </c>
      <c r="D231" s="3" t="inlineStr">
        <is>
          <t>埼玉県</t>
        </is>
      </c>
      <c r="E231" s="3" t="inlineStr">
        <is>
          <t>reha@nakada-hp.com</t>
        </is>
      </c>
      <c r="F231" s="3" t="inlineStr">
        <is>
          <t>リハビリテーション科/理学療法士</t>
        </is>
      </c>
      <c r="G231" s="3" t="n">
        <v>140</v>
      </c>
      <c r="H231" s="3" t="n">
        <v>30</v>
      </c>
      <c r="I231" s="3" t="n">
        <v>8</v>
      </c>
      <c r="J231" s="3" t="inlineStr">
        <is>
          <t>届け出はしていないが、現在検討中である</t>
        </is>
      </c>
      <c r="K231" s="3" t="inlineStr">
        <is>
          <t>関節可動域運動, 筋力増強運動, ポジショニング, 術後リハビリテーションのオリエンテーション</t>
        </is>
      </c>
      <c r="L231" s="3" t="inlineStr">
        <is>
          <t>全症例の0％〜24％程度</t>
        </is>
      </c>
      <c r="N231" s="3" t="inlineStr">
        <is>
          <t>全症例の25％〜49％程度</t>
        </is>
      </c>
      <c r="P231" s="3" t="inlineStr">
        <is>
          <t>全症例の25％〜49％程度</t>
        </is>
      </c>
      <c r="R231" s="3" t="inlineStr">
        <is>
          <t>全症例の0％〜24％程度</t>
        </is>
      </c>
      <c r="T231" s="3" t="inlineStr">
        <is>
          <t>歩行速度, SPPB, TUG, 開眼片脚立位時間, 下腿周径</t>
        </is>
      </c>
      <c r="V231" s="3" t="inlineStr">
        <is>
          <t>J-CHS基準, TUG, 握力</t>
        </is>
      </c>
      <c r="X231" s="3" t="inlineStr">
        <is>
          <t>立ち上がりテスト</t>
        </is>
      </c>
      <c r="Z231" s="3" t="inlineStr">
        <is>
          <t>Barthel Index（BI）, FIM</t>
        </is>
      </c>
      <c r="AB231" s="3" t="inlineStr">
        <is>
          <t>HDS-R</t>
        </is>
      </c>
      <c r="AD231" s="3" t="inlineStr">
        <is>
          <t>TUG, Berg Balance Scale（BBS）, ベッド周囲および病室環境</t>
        </is>
      </c>
      <c r="AF231" s="3" t="inlineStr">
        <is>
          <t>決まっていない</t>
        </is>
      </c>
      <c r="AH231" s="3" t="inlineStr">
        <is>
          <t>各スタッフに評価時期を判断してもらっている。</t>
        </is>
      </c>
      <c r="AI231" s="3" t="inlineStr">
        <is>
          <t>下肢筋力強化, バランス練習, 歩行練習, 起立、着座動作練習, 環境調整, 行動面への介入, 教育、指導</t>
        </is>
      </c>
    </row>
    <row r="232" ht="22.5" customHeight="1">
      <c r="A232" s="32" t="n">
        <v>46106.44972113426</v>
      </c>
      <c r="B232" s="3" t="inlineStr">
        <is>
          <t>森　清子</t>
        </is>
      </c>
      <c r="C232" s="3" t="inlineStr">
        <is>
          <t>医療法人　宝生会　ＰＬ病院</t>
        </is>
      </c>
      <c r="D232" s="3" t="inlineStr">
        <is>
          <t>大阪府</t>
        </is>
      </c>
      <c r="E232" s="3" t="inlineStr">
        <is>
          <t>reha@plhospital.or.jp</t>
        </is>
      </c>
      <c r="F232" s="3" t="inlineStr">
        <is>
          <t>リハビリテーション科/理学療法士</t>
        </is>
      </c>
      <c r="G232" s="3" t="n">
        <v>101</v>
      </c>
      <c r="H232" s="3" t="n">
        <v>19</v>
      </c>
      <c r="I232" s="3" t="n">
        <v>1</v>
      </c>
      <c r="J232" s="3" t="inlineStr">
        <is>
          <t>届け出をしておらず、検討もしていない</t>
        </is>
      </c>
      <c r="K232" s="3" t="inlineStr">
        <is>
          <t>呼吸リハビリテーション, DVT予防, リラクセーション, 自主運動指導, 術後リハビリテーションのオリエンテーション, 離床（例：車椅子移乗,立位,歩行など）</t>
        </is>
      </c>
      <c r="L232" s="3" t="inlineStr">
        <is>
          <t>全症例の75％〜100％程度</t>
        </is>
      </c>
      <c r="M232" s="3" t="inlineStr">
        <is>
          <t>投薬コントロール　物理療法　自動介助運動　リラグゼーション手技　実施時間の調整　装具の使用　複数人で対応</t>
        </is>
      </c>
      <c r="N232" s="3" t="inlineStr">
        <is>
          <t>全症例の0％〜24％程度</t>
        </is>
      </c>
      <c r="P232" s="3" t="inlineStr">
        <is>
          <t>全症例の0％〜24％程度</t>
        </is>
      </c>
      <c r="R232" s="3" t="inlineStr">
        <is>
          <t>全症例の0％〜24％程度</t>
        </is>
      </c>
      <c r="T232" s="3" t="inlineStr">
        <is>
          <t>握力, 膝伸展筋力, 歩行速度, SPPB, TUG, 6分間歩行距離, 開眼片脚立位時間, 下腿周径</t>
        </is>
      </c>
      <c r="V232" s="3" t="inlineStr">
        <is>
          <t>TUG, 6分間歩行距離, 握力</t>
        </is>
      </c>
      <c r="X232" s="3" t="inlineStr">
        <is>
          <t>立ち上がりテスト, 2ステップテスト</t>
        </is>
      </c>
      <c r="Z232" s="3" t="inlineStr">
        <is>
          <t>Barthel Index（BI）, FIM</t>
        </is>
      </c>
      <c r="AB232" s="3" t="inlineStr">
        <is>
          <t>MMSE, HDS-R</t>
        </is>
      </c>
      <c r="AD232" s="3" t="inlineStr">
        <is>
          <t>実施していない</t>
        </is>
      </c>
      <c r="AE232" s="3" t="inlineStr">
        <is>
          <t>個々での評価は行っているが、FLS活動として決められた項目がない</t>
        </is>
      </c>
      <c r="AI232" s="3" t="inlineStr">
        <is>
          <t>下肢筋力強化, バランス練習, 歩行練習, 歩容改善, 起立、着座動作練習, 環境調整, 補助具、装具の適正化, 認知面への介入, 教育、指導</t>
        </is>
      </c>
    </row>
    <row r="233" ht="22.5" customHeight="1">
      <c r="A233" s="32" t="n">
        <v>46106.49463253472</v>
      </c>
      <c r="B233" s="3" t="inlineStr">
        <is>
          <t>小川泰敬</t>
        </is>
      </c>
      <c r="C233" s="3" t="inlineStr">
        <is>
          <t>社会医療法人善仁会　宮崎善仁会病院</t>
        </is>
      </c>
      <c r="D233" s="3" t="inlineStr">
        <is>
          <t>宮崎県</t>
        </is>
      </c>
      <c r="E233" s="3" t="inlineStr">
        <is>
          <t>y-ogawa@m-zenjin.or.jp</t>
        </is>
      </c>
      <c r="F233" s="3" t="inlineStr">
        <is>
          <t>リハビリテーション部／理学療法士</t>
        </is>
      </c>
      <c r="G233" s="3" t="n">
        <v>124</v>
      </c>
      <c r="H233" s="3" t="n">
        <v>13</v>
      </c>
      <c r="I233" s="3" t="n">
        <v>0</v>
      </c>
      <c r="J233" s="3" t="inlineStr">
        <is>
          <t>届け出はしていないが、現在検討中である</t>
        </is>
      </c>
      <c r="K233" s="3" t="inlineStr">
        <is>
          <t>関節可動域運動, 筋力増強運動, 術後リハビリテーションのオリエンテーション</t>
        </is>
      </c>
      <c r="L233" s="3" t="inlineStr">
        <is>
          <t>全症例の0％〜24％程度</t>
        </is>
      </c>
      <c r="N233" s="3" t="inlineStr">
        <is>
          <t>全症例の0％〜24％程度</t>
        </is>
      </c>
      <c r="P233" s="3" t="inlineStr">
        <is>
          <t>全症例の0％〜24％程度</t>
        </is>
      </c>
      <c r="R233" s="3" t="inlineStr">
        <is>
          <t>全症例の0％〜24％程度</t>
        </is>
      </c>
      <c r="T233" s="3" t="inlineStr">
        <is>
          <t>握力, 開眼片脚立位時間, 下腿周径</t>
        </is>
      </c>
      <c r="V233" s="3" t="inlineStr">
        <is>
          <t>握力</t>
        </is>
      </c>
      <c r="X233" s="3" t="inlineStr">
        <is>
          <t>実施していない</t>
        </is>
      </c>
      <c r="Y233" s="3" t="inlineStr">
        <is>
          <t>特に理由はない</t>
        </is>
      </c>
      <c r="Z233" s="3" t="inlineStr">
        <is>
          <t>Barthel Index（BI）</t>
        </is>
      </c>
      <c r="AB233" s="3" t="inlineStr">
        <is>
          <t>AMTS</t>
        </is>
      </c>
      <c r="AD233" s="3" t="inlineStr">
        <is>
          <t>Fall Risk Index</t>
        </is>
      </c>
      <c r="AF233" s="3" t="inlineStr">
        <is>
          <t>決まっている</t>
        </is>
      </c>
      <c r="AG233" s="3" t="inlineStr">
        <is>
          <t>8日目</t>
        </is>
      </c>
      <c r="AI233" s="3" t="inlineStr">
        <is>
          <t>下肢筋力強化, バランス練習, 歩行練習, 歩容改善, 起立、着座動作練習, 環境調整, 補助具、装具の適正化, 認知面への介入, 教育、指導</t>
        </is>
      </c>
    </row>
    <row r="234" ht="22.5" customHeight="1">
      <c r="A234" s="32" t="n">
        <v>46106.51589127315</v>
      </c>
      <c r="B234" s="3" t="inlineStr">
        <is>
          <t>箭内健治</t>
        </is>
      </c>
      <c r="C234" s="3" t="inlineStr">
        <is>
          <t>川崎市立井田病院</t>
        </is>
      </c>
      <c r="D234" s="3" t="inlineStr">
        <is>
          <t>神奈川県</t>
        </is>
      </c>
      <c r="E234" s="3" t="inlineStr">
        <is>
          <t>jen-lote2001@ezweb.ne.jp</t>
        </is>
      </c>
      <c r="F234" s="3" t="inlineStr">
        <is>
          <t>リハビリテーション科/理学療法士</t>
        </is>
      </c>
      <c r="G234" s="3" t="n">
        <v>110</v>
      </c>
      <c r="H234" s="3" t="n">
        <v>12</v>
      </c>
      <c r="I234" s="3" t="n">
        <v>5</v>
      </c>
      <c r="J234" s="3" t="inlineStr">
        <is>
          <t>届け出をしておらず、検討もしていない</t>
        </is>
      </c>
      <c r="K234" s="3" t="inlineStr">
        <is>
          <t>関節可動域運動, 筋力増強運動, 呼吸リハビリテーション, リラクセーション, 自主運動指導, 離床（例：車椅子移乗,立位,歩行など）</t>
        </is>
      </c>
      <c r="L234" s="3" t="inlineStr">
        <is>
          <t>全症例の25％〜49％程度</t>
        </is>
      </c>
      <c r="N234" s="3" t="inlineStr">
        <is>
          <t>全症例の25％〜49％程度</t>
        </is>
      </c>
      <c r="P234" s="3" t="inlineStr">
        <is>
          <t>全症例の0％〜24％程度</t>
        </is>
      </c>
      <c r="R234" s="3" t="inlineStr">
        <is>
          <t>全症例の0％〜24％程度</t>
        </is>
      </c>
      <c r="T234" s="3" t="inlineStr">
        <is>
          <t>握力, 膝伸展筋力, 5回椅子立ち上がりテスト, 歩行速度, SPPB, TUG, 開眼片脚立位時間</t>
        </is>
      </c>
      <c r="V234" s="3" t="inlineStr">
        <is>
          <t>J-CHS基準, TUG, 認知機能, 握力</t>
        </is>
      </c>
      <c r="X234" s="3" t="inlineStr">
        <is>
          <t>立ち上がりテスト, 2ステップテスト</t>
        </is>
      </c>
      <c r="Z234" s="3" t="inlineStr">
        <is>
          <t>Barthel Index（BI）, FIM</t>
        </is>
      </c>
      <c r="AB234" s="3" t="inlineStr">
        <is>
          <t>HDS-R</t>
        </is>
      </c>
      <c r="AD234" s="3" t="inlineStr">
        <is>
          <t>実施していない</t>
        </is>
      </c>
      <c r="AI234" s="3" t="inlineStr">
        <is>
          <t>下肢筋力強化, バランス練習, 歩行練習, 歩容改善, 起立、着座動作練習, 教育、指導</t>
        </is>
      </c>
    </row>
    <row r="235" ht="22.5" customHeight="1">
      <c r="A235" s="32" t="n">
        <v>46106.55922453704</v>
      </c>
      <c r="B235" s="3" t="inlineStr">
        <is>
          <t>柏原　康利</t>
        </is>
      </c>
      <c r="C235" s="3" t="inlineStr">
        <is>
          <t>社会医療法人　社団沼南会　沼隈病院</t>
        </is>
      </c>
      <c r="D235" s="3" t="inlineStr">
        <is>
          <t>広島県</t>
        </is>
      </c>
      <c r="E235" s="3" t="inlineStr">
        <is>
          <t>ykashihara@shounankai.com</t>
        </is>
      </c>
      <c r="F235" s="3" t="inlineStr">
        <is>
          <t>リハビリテーション課/理学療法士</t>
        </is>
      </c>
      <c r="G235" s="3" t="n">
        <v>53</v>
      </c>
      <c r="H235" s="3" t="n">
        <v>7.5</v>
      </c>
      <c r="I235" s="3" t="n">
        <v>6</v>
      </c>
      <c r="J235" s="3" t="inlineStr">
        <is>
          <t>現在、算定している</t>
        </is>
      </c>
      <c r="K235" s="3" t="inlineStr">
        <is>
          <t>関節可動域運動, 筋力増強運動, DVT予防, リラクセーション, ポジショニング</t>
        </is>
      </c>
      <c r="L235" s="3" t="inlineStr">
        <is>
          <t>全症例の75％〜100％程度</t>
        </is>
      </c>
      <c r="M235" s="3" t="inlineStr">
        <is>
          <t>DVT予防・RICE・牽引</t>
        </is>
      </c>
      <c r="N235" s="3" t="inlineStr">
        <is>
          <t>全症例の0％〜24％程度</t>
        </is>
      </c>
      <c r="P235" s="3" t="inlineStr">
        <is>
          <t>全症例の0％〜24％程度</t>
        </is>
      </c>
      <c r="R235" s="3" t="inlineStr">
        <is>
          <t>全症例の0％〜24％程度</t>
        </is>
      </c>
      <c r="T235" s="3" t="inlineStr">
        <is>
          <t>膝伸展筋力, TUG, 開眼片脚立位時間</t>
        </is>
      </c>
      <c r="V235" s="3" t="inlineStr">
        <is>
          <t>TUG</t>
        </is>
      </c>
      <c r="X235" s="3" t="inlineStr">
        <is>
          <t>実施していない</t>
        </is>
      </c>
      <c r="Y235" s="3" t="inlineStr">
        <is>
          <t>医師の指示がないため</t>
        </is>
      </c>
      <c r="Z235" s="3" t="inlineStr">
        <is>
          <t>Barthel Index（BI）, FIM</t>
        </is>
      </c>
      <c r="AB235" s="3" t="inlineStr">
        <is>
          <t>MMSE, AMTS</t>
        </is>
      </c>
      <c r="AD235" s="3" t="inlineStr">
        <is>
          <t>定量的な下肢筋力測定, 認知機能, 既往疾患の有無（脳血管疾患、パーキンソン病など）, 薬剤（向精神薬、降圧薬、利尿薬、ポリファーマシーなど）, ベッド周囲および病室環境</t>
        </is>
      </c>
      <c r="AF235" s="3" t="inlineStr">
        <is>
          <t>決まっている</t>
        </is>
      </c>
      <c r="AG235" s="3" t="inlineStr">
        <is>
          <t>術後７日目までに実施。</t>
        </is>
      </c>
      <c r="AI235" s="3" t="inlineStr">
        <is>
          <t>下肢筋力強化, バランス練習, 歩行練習, 起立、着座動作練習, 環境調整, 教育、指導</t>
        </is>
      </c>
    </row>
    <row r="236" ht="22.5" customHeight="1">
      <c r="A236" s="32" t="n">
        <v>46106.577015</v>
      </c>
      <c r="B236" s="3" t="inlineStr">
        <is>
          <t>鈴木隆範</t>
        </is>
      </c>
      <c r="C236" s="3" t="inlineStr">
        <is>
          <t>JA静岡厚生連　遠州病院</t>
        </is>
      </c>
      <c r="D236" s="3" t="inlineStr">
        <is>
          <t>静岡県</t>
        </is>
      </c>
      <c r="E236" s="3" t="inlineStr">
        <is>
          <t>southern310@gmail.com</t>
        </is>
      </c>
      <c r="F236" s="3" t="inlineStr">
        <is>
          <t>リハビリテーション科　理学療法士</t>
        </is>
      </c>
      <c r="G236" s="3" t="n">
        <v>312</v>
      </c>
      <c r="H236" s="3" t="n">
        <v>6</v>
      </c>
      <c r="I236" s="3" t="n">
        <v>6</v>
      </c>
      <c r="J236" s="3" t="inlineStr">
        <is>
          <t>届け出をしておらず、検討もしていない</t>
        </is>
      </c>
      <c r="K236" s="3" t="inlineStr">
        <is>
          <t>実施していない</t>
        </is>
      </c>
      <c r="L236" s="3" t="inlineStr">
        <is>
          <t>全症例の50％〜74％程度</t>
        </is>
      </c>
      <c r="M236" s="3" t="inlineStr">
        <is>
          <t>介入当初より端座位や車椅子乗車などをすすめる</t>
        </is>
      </c>
      <c r="N236" s="3" t="inlineStr">
        <is>
          <t>全症例の0％〜24％程度</t>
        </is>
      </c>
      <c r="P236" s="3" t="inlineStr">
        <is>
          <t>全症例の0％〜24％程度</t>
        </is>
      </c>
      <c r="R236" s="3" t="inlineStr">
        <is>
          <t>全症例の0％〜24％程度</t>
        </is>
      </c>
      <c r="T236" s="3" t="inlineStr">
        <is>
          <t>握力, 膝伸展筋力, 歩行速度, TUG, 開眼片脚立位時間, 下腿周径</t>
        </is>
      </c>
      <c r="V236" s="3" t="inlineStr">
        <is>
          <t>TUG, 握力</t>
        </is>
      </c>
      <c r="X236" s="3" t="inlineStr">
        <is>
          <t>実施していない</t>
        </is>
      </c>
      <c r="Y236" s="3" t="inlineStr">
        <is>
          <t>縦断評価を実施しているため</t>
        </is>
      </c>
      <c r="Z236" s="3" t="inlineStr">
        <is>
          <t>Barthel Index（BI）</t>
        </is>
      </c>
      <c r="AB236" s="3" t="inlineStr">
        <is>
          <t>HDS-R, AMTS</t>
        </is>
      </c>
      <c r="AD236" s="3" t="inlineStr">
        <is>
          <t>定量的な下肢筋力測定, 開眼片脚立位時間, TUG, 10m歩行速度</t>
        </is>
      </c>
      <c r="AF236" s="3" t="inlineStr">
        <is>
          <t>決まっていない</t>
        </is>
      </c>
      <c r="AH236" s="3" t="inlineStr">
        <is>
          <t>FLSの一環として評価はとっていない</t>
        </is>
      </c>
      <c r="AI236" s="3" t="inlineStr">
        <is>
          <t>下肢筋力強化, バランス練習, 歩行練習, 歩容改善, 起立、着座動作練習, 環境調整, 補助具、装具の適正化, 教育、指導</t>
        </is>
      </c>
    </row>
    <row r="237" ht="22.5" customHeight="1">
      <c r="A237" s="32" t="n">
        <v>46106.58114129629</v>
      </c>
      <c r="B237" s="3" t="inlineStr">
        <is>
          <t>織田聡子</t>
        </is>
      </c>
      <c r="C237" s="3" t="inlineStr">
        <is>
          <t>医療法人財団荻窪病院</t>
        </is>
      </c>
      <c r="D237" s="3" t="inlineStr">
        <is>
          <t>東京都</t>
        </is>
      </c>
      <c r="E237" s="3" t="inlineStr">
        <is>
          <t>rehabilitation@ogikubo-hospital.or.jp</t>
        </is>
      </c>
      <c r="F237" s="3" t="inlineStr">
        <is>
          <t>リハビリテーション室／理学療法士</t>
        </is>
      </c>
      <c r="G237" s="3" t="n">
        <v>142</v>
      </c>
      <c r="H237" s="3" t="n">
        <v>13</v>
      </c>
      <c r="I237" s="3" t="n">
        <v>3</v>
      </c>
      <c r="J237" s="3" t="inlineStr">
        <is>
          <t>届け出はしていないが、現在検討中である</t>
        </is>
      </c>
      <c r="K237" s="3" t="inlineStr">
        <is>
          <t>DVT予防, ポジショニング, 術後リハビリテーションのオリエンテーション</t>
        </is>
      </c>
      <c r="L237" s="3" t="inlineStr">
        <is>
          <t>全症例の0％〜24％程度</t>
        </is>
      </c>
      <c r="N237" s="3" t="inlineStr">
        <is>
          <t>全症例の0％〜24％程度</t>
        </is>
      </c>
      <c r="P237" s="3" t="inlineStr">
        <is>
          <t>全症例の0％〜24％程度</t>
        </is>
      </c>
      <c r="R237" s="3" t="inlineStr">
        <is>
          <t>全症例の0％〜24％程度</t>
        </is>
      </c>
      <c r="T237" s="3" t="inlineStr">
        <is>
          <t>握力, 膝伸展筋力, 開眼片脚立位時間, 下腿周径</t>
        </is>
      </c>
      <c r="V237" s="3" t="inlineStr">
        <is>
          <t>認知機能, 抑うつや意欲低下, 握力</t>
        </is>
      </c>
      <c r="X237" s="3" t="inlineStr">
        <is>
          <t>実施していない</t>
        </is>
      </c>
      <c r="Y237" s="3" t="inlineStr">
        <is>
          <t>ロコモティブシンドロームの評価に時間を取るというより、その時に必要な評価を優先している。</t>
        </is>
      </c>
      <c r="Z237" s="3" t="inlineStr">
        <is>
          <t>Barthel Index（BI）, FIM</t>
        </is>
      </c>
      <c r="AB237" s="3" t="inlineStr">
        <is>
          <t>MMSE, HDS-R, AMTS</t>
        </is>
      </c>
      <c r="AD237" s="3" t="inlineStr">
        <is>
          <t>実施していない</t>
        </is>
      </c>
      <c r="AE237" s="3" t="inlineStr">
        <is>
          <t>FLS活動の一環として、施設内で定めているものがないため</t>
        </is>
      </c>
      <c r="AI237" s="3" t="inlineStr">
        <is>
          <t>下肢筋力強化, バランス練習, 歩行練習, 歩容改善, 起立、着座動作練習, 環境調整, 補助具、装具の適正化, 認知面への介入, 行動面への介入, 薬剤調整, 教育、指導</t>
        </is>
      </c>
    </row>
    <row r="238" ht="22.5" customHeight="1">
      <c r="A238" s="32" t="n">
        <v>46106.59659878472</v>
      </c>
      <c r="B238" s="3" t="inlineStr">
        <is>
          <t>荒町　浩史</t>
        </is>
      </c>
      <c r="C238" s="3" t="inlineStr">
        <is>
          <t>JA岐阜厚生連飛騨医療センター久美愛厚生病院</t>
        </is>
      </c>
      <c r="D238" s="3" t="inlineStr">
        <is>
          <t>岐阜県</t>
        </is>
      </c>
      <c r="E238" s="3" t="inlineStr">
        <is>
          <t>riha-1@kumiai.gfkosei.or.jp</t>
        </is>
      </c>
      <c r="F238" s="3" t="inlineStr">
        <is>
          <t>リハビリテーション科／理学療法士</t>
        </is>
      </c>
      <c r="G238" s="3" t="n">
        <v>100</v>
      </c>
      <c r="H238" s="3" t="n">
        <v>13</v>
      </c>
      <c r="I238" s="3" t="n">
        <v>3</v>
      </c>
      <c r="J238" s="3" t="inlineStr">
        <is>
          <t>現在、算定している</t>
        </is>
      </c>
      <c r="K238" s="3" t="inlineStr">
        <is>
          <t>実施していない</t>
        </is>
      </c>
      <c r="L238" s="3" t="inlineStr">
        <is>
          <t>全症例の0％〜24％程度</t>
        </is>
      </c>
      <c r="N238" s="3" t="inlineStr">
        <is>
          <t>全症例の0％〜24％程度</t>
        </is>
      </c>
      <c r="P238" s="3" t="inlineStr">
        <is>
          <t>全症例の0％〜24％程度</t>
        </is>
      </c>
      <c r="R238" s="3" t="inlineStr">
        <is>
          <t>全症例の0％〜24％程度</t>
        </is>
      </c>
      <c r="T238" s="3" t="inlineStr">
        <is>
          <t>開眼片脚立位時間</t>
        </is>
      </c>
      <c r="V238" s="3" t="inlineStr">
        <is>
          <t>実施していない</t>
        </is>
      </c>
      <c r="W238" s="3" t="inlineStr">
        <is>
          <t>他の評価を行っている</t>
        </is>
      </c>
      <c r="X238" s="3" t="inlineStr">
        <is>
          <t>実施していない</t>
        </is>
      </c>
      <c r="Y238" s="3" t="inlineStr">
        <is>
          <t>他の評価で代用</t>
        </is>
      </c>
      <c r="Z238" s="3" t="inlineStr">
        <is>
          <t>Barthel Index（BI）</t>
        </is>
      </c>
      <c r="AB238" s="3" t="inlineStr">
        <is>
          <t>HDS-R</t>
        </is>
      </c>
      <c r="AD238" s="3" t="inlineStr">
        <is>
          <t>実施していない</t>
        </is>
      </c>
      <c r="AE238" s="3" t="inlineStr">
        <is>
          <t>FLSの一環としては行っていない</t>
        </is>
      </c>
      <c r="AH238" s="3" t="inlineStr">
        <is>
          <t>FLSとしては関わっていない</t>
        </is>
      </c>
      <c r="AI238" s="3" t="inlineStr">
        <is>
          <t>下肢筋力強化, バランス練習, 歩行練習, 歩容改善, 起立、着座動作練習, 環境調整, 補助具、装具の適正化, 認知面への介入, 教育、指導</t>
        </is>
      </c>
    </row>
    <row r="239" ht="22.5" customHeight="1">
      <c r="A239" s="32" t="n">
        <v>46106.6301559838</v>
      </c>
      <c r="B239" s="3" t="inlineStr">
        <is>
          <t>吉年雅子</t>
        </is>
      </c>
      <c r="C239" s="3" t="inlineStr">
        <is>
          <t>八尾市立病院</t>
        </is>
      </c>
      <c r="D239" s="3" t="inlineStr">
        <is>
          <t>大阪府</t>
        </is>
      </c>
      <c r="E239" s="3" t="inlineStr">
        <is>
          <t>team.ols.yao@gmail.com</t>
        </is>
      </c>
      <c r="F239" s="3" t="inlineStr">
        <is>
          <t>機能訓練科／理学療法死</t>
        </is>
      </c>
      <c r="G239" s="3" t="n">
        <v>69</v>
      </c>
      <c r="H239" s="3" t="n">
        <v>4</v>
      </c>
      <c r="I239" s="3" t="n">
        <v>0</v>
      </c>
      <c r="J239" s="3" t="inlineStr">
        <is>
          <t>現在、算定している</t>
        </is>
      </c>
      <c r="K239" s="3" t="inlineStr">
        <is>
          <t>実施していない</t>
        </is>
      </c>
      <c r="L239" s="3" t="inlineStr">
        <is>
          <t>全症例の25％〜49％程度</t>
        </is>
      </c>
      <c r="N239" s="3" t="inlineStr">
        <is>
          <t>全症例の0％〜24％程度</t>
        </is>
      </c>
      <c r="P239" s="3" t="inlineStr">
        <is>
          <t>全症例の25％〜49％程度</t>
        </is>
      </c>
      <c r="R239" s="3" t="inlineStr">
        <is>
          <t>全症例の0％〜24％程度</t>
        </is>
      </c>
      <c r="T239" s="3" t="inlineStr">
        <is>
          <t>膝伸展筋力</t>
        </is>
      </c>
      <c r="V239" s="3" t="inlineStr">
        <is>
          <t>実施していない</t>
        </is>
      </c>
      <c r="X239" s="3" t="inlineStr">
        <is>
          <t>実施していない</t>
        </is>
      </c>
      <c r="Z239" s="3" t="inlineStr">
        <is>
          <t>Barthel Index（BI）</t>
        </is>
      </c>
      <c r="AB239" s="3" t="inlineStr">
        <is>
          <t>HDS-R</t>
        </is>
      </c>
      <c r="AD239" s="3" t="inlineStr">
        <is>
          <t>実施していない</t>
        </is>
      </c>
      <c r="AI239" s="3" t="inlineStr">
        <is>
          <t>下肢筋力強化, バランス練習, 歩行練習, 起立、着座動作練習</t>
        </is>
      </c>
    </row>
    <row r="240" ht="22.5" customHeight="1">
      <c r="A240" s="32" t="n">
        <v>46106.66515976852</v>
      </c>
      <c r="B240" s="3" t="inlineStr">
        <is>
          <t>渡邊　啓太</t>
        </is>
      </c>
      <c r="C240" s="3" t="inlineStr">
        <is>
          <t>国家公務員共済組合連合会　呉共済病院</t>
        </is>
      </c>
      <c r="D240" s="3" t="inlineStr">
        <is>
          <t>広島県</t>
        </is>
      </c>
      <c r="E240" s="3" t="inlineStr">
        <is>
          <t>tabe19891204@gmail.com</t>
        </is>
      </c>
      <c r="F240" s="3" t="inlineStr">
        <is>
          <t>リハビリテーション科／理学療法士</t>
        </is>
      </c>
      <c r="G240" s="3" t="n">
        <v>194</v>
      </c>
      <c r="H240" s="3" t="n">
        <v>7</v>
      </c>
      <c r="I240" s="3" t="n">
        <v>9</v>
      </c>
      <c r="J240" s="3" t="inlineStr">
        <is>
          <t>届け出はしていないが、現在検討中である</t>
        </is>
      </c>
      <c r="K240" s="3" t="inlineStr">
        <is>
          <t>関節可動域運動, 筋力増強運動, DVT予防, ポジショニング, 自主運動指導, 術後リハビリテーションのオリエンテーション</t>
        </is>
      </c>
      <c r="L240" s="3" t="inlineStr">
        <is>
          <t>全症例の50％〜74％程度</t>
        </is>
      </c>
      <c r="M240" s="3" t="inlineStr">
        <is>
          <t>痛み止め（主に内服）の調整</t>
        </is>
      </c>
      <c r="N240" s="3" t="inlineStr">
        <is>
          <t>全症例の25％〜49％程度</t>
        </is>
      </c>
      <c r="P240" s="3" t="inlineStr">
        <is>
          <t>全症例の0％〜24％程度</t>
        </is>
      </c>
      <c r="R240" s="3" t="inlineStr">
        <is>
          <t>全症例の0％〜24％程度</t>
        </is>
      </c>
      <c r="T240" s="3" t="inlineStr">
        <is>
          <t>握力, 膝伸展筋力, 歩行速度, 開眼片脚立位時間, 骨格筋量指数（SMI）</t>
        </is>
      </c>
      <c r="V240" s="3" t="inlineStr">
        <is>
          <t>認知機能, 握力</t>
        </is>
      </c>
      <c r="X240" s="3" t="inlineStr">
        <is>
          <t>実施していない</t>
        </is>
      </c>
      <c r="Y240" s="3" t="inlineStr">
        <is>
          <t>特に理由はない</t>
        </is>
      </c>
      <c r="Z240" s="3" t="inlineStr">
        <is>
          <t>Barthel Index（BI）, FIM</t>
        </is>
      </c>
      <c r="AB240" s="3" t="inlineStr">
        <is>
          <t>HDS-R, AMTS</t>
        </is>
      </c>
      <c r="AD240" s="3" t="inlineStr">
        <is>
          <t>開眼片脚立位時間, 10m歩行速度, 認知機能</t>
        </is>
      </c>
      <c r="AF240" s="3" t="inlineStr">
        <is>
          <t>決まっている</t>
        </is>
      </c>
      <c r="AG240" s="3" t="inlineStr">
        <is>
          <t>認知機能評価－術後3日以内　運動機能評価ー術後14日目</t>
        </is>
      </c>
      <c r="AI240" s="3" t="inlineStr">
        <is>
          <t>下肢筋力強化, バランス練習, 歩行練習, 起立、着座動作練習, 環境調整, 補助具、装具の適正化, 認知面への介入, 教育、指導</t>
        </is>
      </c>
    </row>
    <row r="241" ht="22.5" customHeight="1">
      <c r="A241" s="32" t="n">
        <v>46106.704688125</v>
      </c>
      <c r="B241" s="3" t="inlineStr">
        <is>
          <t>水野 陽</t>
        </is>
      </c>
      <c r="C241" s="3" t="inlineStr">
        <is>
          <t>大阪府済生会千里病院</t>
        </is>
      </c>
      <c r="D241" s="3" t="inlineStr">
        <is>
          <t>大阪府</t>
        </is>
      </c>
      <c r="E241" s="3" t="inlineStr">
        <is>
          <t>akoyama@senri.saiseikai.or.jp</t>
        </is>
      </c>
      <c r="F241" s="3" t="inlineStr">
        <is>
          <t>リハビリテーション科/理学療法士</t>
        </is>
      </c>
      <c r="G241" s="3" t="n">
        <v>149</v>
      </c>
      <c r="H241" s="3" t="n">
        <v>18</v>
      </c>
      <c r="I241" s="3" t="n">
        <v>0</v>
      </c>
      <c r="J241" s="3" t="inlineStr">
        <is>
          <t>現在、算定している</t>
        </is>
      </c>
      <c r="K241" s="3" t="inlineStr">
        <is>
          <t>関節可動域運動, 筋力増強運動, 呼吸リハビリテーション, DVT予防, リラクセーション, ポジショニング, 自主運動指導, 術後リハビリテーションのオリエンテーション, 離床（例：車椅子移乗,立位,歩行など）</t>
        </is>
      </c>
      <c r="L241" s="3" t="inlineStr">
        <is>
          <t>全症例の50％〜74％程度</t>
        </is>
      </c>
      <c r="N241" s="3" t="inlineStr">
        <is>
          <t>全症例の0％〜24％程度</t>
        </is>
      </c>
      <c r="P241" s="3" t="inlineStr">
        <is>
          <t>全症例の25％〜49％程度</t>
        </is>
      </c>
      <c r="R241" s="3" t="inlineStr">
        <is>
          <t>全症例の0％〜24％程度</t>
        </is>
      </c>
      <c r="T241" s="3" t="inlineStr">
        <is>
          <t>握力, 膝伸展筋力, 5回椅子立ち上がりテスト, 歩行速度, SPPB, TUG, 6分間歩行距離, 開眼片脚立位時間, 下腿周径</t>
        </is>
      </c>
      <c r="V241" s="3" t="inlineStr">
        <is>
          <t>J-CHS基準, TUG, 6分間歩行距離, 認知機能, 握力</t>
        </is>
      </c>
      <c r="X241" s="3" t="inlineStr">
        <is>
          <t>立ち上がりテスト</t>
        </is>
      </c>
      <c r="Z241" s="3" t="inlineStr">
        <is>
          <t>Barthel Index（BI）, FIM</t>
        </is>
      </c>
      <c r="AB241" s="3" t="inlineStr">
        <is>
          <t>MMSE, HDS-R, MoCA</t>
        </is>
      </c>
      <c r="AD241" s="3" t="inlineStr">
        <is>
          <t>定量的な下肢筋力測定, 開眼片脚立位時間, TUG, 10m歩行速度, Berg Balance Scale（BBS）, SPPB、Functional Reach Test（FRT）, 5回椅子立ち上がりテスト, 深部感覚評価, 認知機能, 注意障害, 遂行機能, せん妄, 転倒恐怖感, 過去の転倒歴, 既往疾患の有無（脳血管疾患、パーキンソン病など）, 薬剤（向精神薬、降圧薬、利尿薬、ポリファーマシーなど）, ベッド周囲および病室環境</t>
        </is>
      </c>
      <c r="AF241" s="3" t="inlineStr">
        <is>
          <t>決まっていない</t>
        </is>
      </c>
      <c r="AI241" s="3" t="inlineStr">
        <is>
          <t>下肢筋力強化, バランス練習, 歩行練習, 歩容改善, 起立、着座動作練習, 環境調整, 補助具、装具の適正化, 認知面への介入, 行動面への介入, 薬剤調整, 教育、指導</t>
        </is>
      </c>
    </row>
    <row r="242" ht="22.5" customHeight="1">
      <c r="A242" s="32" t="n">
        <v>46106.80816748842</v>
      </c>
      <c r="B242" s="3" t="inlineStr">
        <is>
          <t>伊藤あづさ</t>
        </is>
      </c>
      <c r="C242" s="3" t="inlineStr">
        <is>
          <t>市立四日市病院</t>
        </is>
      </c>
      <c r="D242" s="3" t="inlineStr">
        <is>
          <t>三重県</t>
        </is>
      </c>
      <c r="E242" s="3" t="inlineStr">
        <is>
          <t>post-8@yokkaichihp01.jp</t>
        </is>
      </c>
      <c r="F242" s="3" t="inlineStr">
        <is>
          <t>リハビリテーション室</t>
        </is>
      </c>
      <c r="G242" s="3" t="n">
        <v>220</v>
      </c>
      <c r="H242" s="3" t="n">
        <v>14</v>
      </c>
      <c r="I242" s="3" t="n">
        <v>0</v>
      </c>
      <c r="J242" s="3" t="inlineStr">
        <is>
          <t>届け出をしておらず、検討もしていない</t>
        </is>
      </c>
      <c r="K242" s="3" t="inlineStr">
        <is>
          <t>DVT予防, 術後リハビリテーションのオリエンテーション</t>
        </is>
      </c>
      <c r="L242" s="3" t="inlineStr">
        <is>
          <t>全症例の0％〜24％程度</t>
        </is>
      </c>
      <c r="N242" s="3" t="inlineStr">
        <is>
          <t>全症例の0％〜24％程度</t>
        </is>
      </c>
      <c r="P242" s="3" t="inlineStr">
        <is>
          <t>全症例の0％〜24％程度</t>
        </is>
      </c>
      <c r="R242" s="3" t="inlineStr">
        <is>
          <t>全症例の0％〜24％程度</t>
        </is>
      </c>
      <c r="T242" s="3" t="inlineStr">
        <is>
          <t>握力, 5回椅子立ち上がりテスト, 6分間歩行距離</t>
        </is>
      </c>
      <c r="V242" s="3" t="inlineStr">
        <is>
          <t>6分間歩行距離, 握力</t>
        </is>
      </c>
      <c r="X242" s="3" t="inlineStr">
        <is>
          <t>立ち上がりテスト</t>
        </is>
      </c>
      <c r="Z242" s="3" t="inlineStr">
        <is>
          <t>Barthel Index（BI）</t>
        </is>
      </c>
      <c r="AB242" s="3" t="inlineStr">
        <is>
          <t>MMSE, MoCA</t>
        </is>
      </c>
      <c r="AD242" s="3" t="inlineStr">
        <is>
          <t>認知機能, 注意障害, せん妄, 過去の転倒歴, 既往疾患の有無（脳血管疾患、パーキンソン病など）, 薬剤（向精神薬、降圧薬、利尿薬、ポリファーマシーなど）</t>
        </is>
      </c>
      <c r="AF242" s="3" t="inlineStr">
        <is>
          <t>決まっていない</t>
        </is>
      </c>
      <c r="AI242" s="3" t="inlineStr">
        <is>
          <t>下肢筋力強化, バランス練習, 歩行練習, 起立、着座動作練習, 補助具、装具の適正化, 認知面への介入, 行動面への介入, 教育、指導</t>
        </is>
      </c>
    </row>
    <row r="243" ht="22.5" customHeight="1">
      <c r="A243" s="32" t="n">
        <v>46106.82500277778</v>
      </c>
      <c r="B243" s="3" t="inlineStr">
        <is>
          <t>小椋範久</t>
        </is>
      </c>
      <c r="C243" s="3" t="inlineStr">
        <is>
          <t>医療法人社団慶友会第一病院</t>
        </is>
      </c>
      <c r="D243" s="3" t="inlineStr">
        <is>
          <t>神奈川県</t>
        </is>
      </c>
      <c r="E243" s="3" t="inlineStr">
        <is>
          <t>reha@daiichi-hosp.jp</t>
        </is>
      </c>
      <c r="F243" s="3" t="inlineStr">
        <is>
          <t>リハビリテーション部／理学療法士</t>
        </is>
      </c>
      <c r="G243" s="3" t="n">
        <v>241</v>
      </c>
      <c r="H243" s="3" t="n">
        <v>4</v>
      </c>
      <c r="I243" s="3" t="n">
        <v>2</v>
      </c>
      <c r="J243" s="3" t="inlineStr">
        <is>
          <t>届け出をしておらず、検討もしていない</t>
        </is>
      </c>
      <c r="K243" s="3" t="inlineStr">
        <is>
          <t>実施していない</t>
        </is>
      </c>
      <c r="L243" s="3" t="inlineStr">
        <is>
          <t>全症例の75％〜100％程度</t>
        </is>
      </c>
      <c r="M243" s="3" t="inlineStr">
        <is>
          <t>筋緊張の低減のためのmobilization・mild-active-assistive関節運動を起居移乗動作・立位動作に先行して実施し、緊張亢進によるstretch painを減少させ、より積極的に運動できるよう準備しています。</t>
        </is>
      </c>
      <c r="N243" s="3" t="inlineStr">
        <is>
          <t>全症例の0％〜24％程度</t>
        </is>
      </c>
      <c r="P243" s="3" t="inlineStr">
        <is>
          <t>全症例の0％〜24％程度</t>
        </is>
      </c>
      <c r="R243" s="3" t="inlineStr">
        <is>
          <t>全症例の0％〜24％程度</t>
        </is>
      </c>
      <c r="T243" s="3" t="inlineStr">
        <is>
          <t>膝伸展筋力, 歩行速度, TUG, 下腿周径</t>
        </is>
      </c>
      <c r="V243" s="3" t="inlineStr">
        <is>
          <t>TUG, 認知機能, 握力</t>
        </is>
      </c>
      <c r="X243" s="3" t="inlineStr">
        <is>
          <t>ロコモ25（質問票）</t>
        </is>
      </c>
      <c r="Z243" s="3" t="inlineStr">
        <is>
          <t>Barthel Index（BI）, FIM</t>
        </is>
      </c>
      <c r="AB243" s="3" t="inlineStr">
        <is>
          <t>MMSE, HDS-R</t>
        </is>
      </c>
      <c r="AD243" s="3" t="inlineStr">
        <is>
          <t>認知機能, 転倒恐怖感, 過去の転倒歴, 既往疾患の有無（脳血管疾患、パーキンソン病など）, 転倒リスク評価</t>
        </is>
      </c>
      <c r="AF243" s="3" t="inlineStr">
        <is>
          <t>決まっていない</t>
        </is>
      </c>
      <c r="AH243" s="3" t="inlineStr">
        <is>
          <t>休日の診療体制が不十分であることから手術後〇日という実施は困難である。実際にはこれらを配慮された上で、評価日は医師の指示によって決定されています。</t>
        </is>
      </c>
      <c r="AI243" s="3" t="inlineStr">
        <is>
          <t>下肢筋力強化, バランス練習, 歩行練習, 歩容改善, 起立、着座動作練習, 環境調整, 認知面への介入, 行動面への介入, 教育、指導</t>
        </is>
      </c>
    </row>
    <row r="244" ht="22.5" customHeight="1">
      <c r="A244" s="32" t="n">
        <v>46107.51774278935</v>
      </c>
      <c r="B244" s="3" t="inlineStr">
        <is>
          <t>佐藤　武</t>
        </is>
      </c>
      <c r="C244" s="3" t="inlineStr">
        <is>
          <t>滝川市立病院</t>
        </is>
      </c>
      <c r="D244" s="3" t="inlineStr">
        <is>
          <t>北海道</t>
        </is>
      </c>
      <c r="E244" s="3" t="inlineStr">
        <is>
          <t>t-sato@med.takikawa.hokkaido.jp</t>
        </is>
      </c>
      <c r="F244" s="3" t="inlineStr">
        <is>
          <t>リハビリテーション科/理学療法士</t>
        </is>
      </c>
      <c r="G244" s="3" t="n">
        <v>175</v>
      </c>
      <c r="H244" s="3" t="n">
        <v>8.6</v>
      </c>
      <c r="I244" s="3" t="n">
        <v>3</v>
      </c>
      <c r="J244" s="3" t="inlineStr">
        <is>
          <t>届け出をしておらず、検討もしていない</t>
        </is>
      </c>
      <c r="K244" s="3" t="inlineStr">
        <is>
          <t>関節可動域運動, 筋力増強運動, リラクセーション, ポジショニング, 離床（例：車椅子移乗,立位,歩行など）</t>
        </is>
      </c>
      <c r="L244" s="3" t="inlineStr">
        <is>
          <t>全症例の25％〜49％程度</t>
        </is>
      </c>
      <c r="N244" s="3" t="inlineStr">
        <is>
          <t>全症例の0％〜24％程度</t>
        </is>
      </c>
      <c r="P244" s="3" t="inlineStr">
        <is>
          <t>全症例の0％〜24％程度</t>
        </is>
      </c>
      <c r="R244" s="3" t="inlineStr">
        <is>
          <t>全症例の0％〜24％程度</t>
        </is>
      </c>
      <c r="T244" s="3" t="inlineStr">
        <is>
          <t>握力, 膝伸展筋力</t>
        </is>
      </c>
      <c r="V244" s="3" t="inlineStr">
        <is>
          <t>認知機能, 握力</t>
        </is>
      </c>
      <c r="X244" s="3" t="inlineStr">
        <is>
          <t>立ち上がりテスト</t>
        </is>
      </c>
      <c r="Z244" s="3" t="inlineStr">
        <is>
          <t>Barthel Index（BI）, FIM</t>
        </is>
      </c>
      <c r="AB244" s="3" t="inlineStr">
        <is>
          <t>HDS-R</t>
        </is>
      </c>
      <c r="AD244" s="3" t="inlineStr">
        <is>
          <t>過去の転倒歴</t>
        </is>
      </c>
      <c r="AF244" s="3" t="inlineStr">
        <is>
          <t>決まっていない</t>
        </is>
      </c>
      <c r="AH244" s="3" t="inlineStr">
        <is>
          <t>マニュアルが整備されていない</t>
        </is>
      </c>
      <c r="AI244" s="3" t="inlineStr">
        <is>
          <t>下肢筋力強化, バランス練習, 歩行練習, 歩容改善, 起立、着座動作練習, 補助具、装具の適正化</t>
        </is>
      </c>
    </row>
    <row r="245" ht="22.5" customHeight="1">
      <c r="A245" s="32" t="n">
        <v>46107.57240318287</v>
      </c>
      <c r="B245" s="3" t="inlineStr">
        <is>
          <t>炭谷　直哉</t>
        </is>
      </c>
      <c r="C245" s="3" t="inlineStr">
        <is>
          <t>赤穂市民病院</t>
        </is>
      </c>
      <c r="D245" s="3" t="inlineStr">
        <is>
          <t>兵庫県</t>
        </is>
      </c>
      <c r="E245" s="3" t="inlineStr">
        <is>
          <t>hp_iryo@city.ako.lg.jp</t>
        </is>
      </c>
      <c r="F245" s="3" t="inlineStr">
        <is>
          <t>リハビリテーション部／作業療法士</t>
        </is>
      </c>
      <c r="G245" s="3" t="n">
        <v>100</v>
      </c>
      <c r="H245" s="3" t="n">
        <v>13</v>
      </c>
      <c r="I245" s="3" t="n">
        <v>13</v>
      </c>
      <c r="J245" s="3" t="inlineStr">
        <is>
          <t>届け出はしていないが、現在検討中である</t>
        </is>
      </c>
      <c r="K245" s="3" t="inlineStr">
        <is>
          <t>関節可動域運動, 筋力増強運動, 呼吸リハビリテーション, リラクセーション, ポジショニング, 自主運動指導, 術後リハビリテーションのオリエンテーション</t>
        </is>
      </c>
      <c r="L245" s="3" t="inlineStr">
        <is>
          <t>全症例の0％〜24％程度</t>
        </is>
      </c>
      <c r="N245" s="3" t="inlineStr">
        <is>
          <t>全症例の0％〜24％程度</t>
        </is>
      </c>
      <c r="P245" s="3" t="inlineStr">
        <is>
          <t>全症例の0％〜24％程度</t>
        </is>
      </c>
      <c r="R245" s="3" t="inlineStr">
        <is>
          <t>全症例の0％〜24％程度</t>
        </is>
      </c>
      <c r="T245" s="3" t="inlineStr">
        <is>
          <t>膝伸展筋力, 5回椅子立ち上がりテスト, 歩行速度, SPPB, TUG, 開眼片脚立位時間, 下腿周径</t>
        </is>
      </c>
      <c r="V245" s="3" t="inlineStr">
        <is>
          <t>TUG, 握力</t>
        </is>
      </c>
      <c r="X245" s="3" t="inlineStr">
        <is>
          <t>立ち上がりテスト</t>
        </is>
      </c>
      <c r="Z245" s="3" t="inlineStr">
        <is>
          <t>Barthel Index（BI）</t>
        </is>
      </c>
      <c r="AB245" s="3" t="inlineStr">
        <is>
          <t>MMSE, HDS-R</t>
        </is>
      </c>
      <c r="AD245" s="3" t="inlineStr">
        <is>
          <t>定量的な下肢筋力測定, TUG, 10m歩行速度, Berg Balance Scale（BBS）, SPPB、Functional Reach Test（FRT）, 5回椅子立ち上がりテスト, 過去の転倒歴, ベッド周囲および病室環境</t>
        </is>
      </c>
      <c r="AF245" s="3" t="inlineStr">
        <is>
          <t>決まっていない</t>
        </is>
      </c>
      <c r="AH245" s="3" t="inlineStr">
        <is>
          <t>担当療法士に任されており、時期は決まっていない</t>
        </is>
      </c>
      <c r="AI245" s="3" t="inlineStr">
        <is>
          <t>下肢筋力強化, バランス練習, 歩行練習, 歩容改善, 起立、着座動作練習, 環境調整, 補助具、装具の適正化, 認知面への介入, 教育、指導</t>
        </is>
      </c>
    </row>
    <row r="246" ht="22.5" customHeight="1">
      <c r="A246" s="32" t="n">
        <v>46107.59338085648</v>
      </c>
      <c r="B246" s="3" t="inlineStr">
        <is>
          <t>熊谷　陽造</t>
        </is>
      </c>
      <c r="C246" s="3" t="inlineStr">
        <is>
          <t>公立神崎総合病院</t>
        </is>
      </c>
      <c r="D246" s="3" t="inlineStr">
        <is>
          <t>兵庫県</t>
        </is>
      </c>
      <c r="E246" s="3" t="inlineStr">
        <is>
          <t>y-kumagae@kanzaki-hp.jp</t>
        </is>
      </c>
      <c r="F246" s="3" t="inlineStr">
        <is>
          <t>リハビリテーション技術科/理学療法士</t>
        </is>
      </c>
      <c r="G246" s="3" t="n">
        <v>70</v>
      </c>
      <c r="H246" s="3" t="n">
        <v>10</v>
      </c>
      <c r="I246" s="3" t="n">
        <v>6</v>
      </c>
      <c r="J246" s="3" t="inlineStr">
        <is>
          <t>届け出はしていないが、現在検討中である</t>
        </is>
      </c>
      <c r="K246" s="3" t="inlineStr">
        <is>
          <t>関節可動域運動, 筋力増強運動, 呼吸リハビリテーション, DVT予防, リラクセーション, ポジショニング, 自主運動指導, 術後リハビリテーションのオリエンテーション</t>
        </is>
      </c>
      <c r="L246" s="3" t="inlineStr">
        <is>
          <t>全症例の25％〜49％程度</t>
        </is>
      </c>
      <c r="N246" s="3" t="inlineStr">
        <is>
          <t>全症例の25％〜49％程度</t>
        </is>
      </c>
      <c r="P246" s="3" t="inlineStr">
        <is>
          <t>全症例の25％〜49％程度</t>
        </is>
      </c>
      <c r="R246" s="3" t="inlineStr">
        <is>
          <t>全症例の0％〜24％程度</t>
        </is>
      </c>
      <c r="T246" s="3" t="inlineStr">
        <is>
          <t>握力, 5回椅子立ち上がりテスト, 歩行速度, SPPB, TUG, 下腿周径</t>
        </is>
      </c>
      <c r="V246" s="3" t="inlineStr">
        <is>
          <t>Frailty Index（累積欠損モデル）, TUG, 認知機能, 握力</t>
        </is>
      </c>
      <c r="X246" s="3" t="inlineStr">
        <is>
          <t>実施していない</t>
        </is>
      </c>
      <c r="Y246" s="3" t="inlineStr">
        <is>
          <t>フレイル・サルコペニアの評価を行っている。</t>
        </is>
      </c>
      <c r="Z246" s="3" t="inlineStr">
        <is>
          <t>Barthel Index（BI）, FIM</t>
        </is>
      </c>
      <c r="AB246" s="3" t="inlineStr">
        <is>
          <t>MMSE, HDS-R</t>
        </is>
      </c>
      <c r="AD246" s="3" t="inlineStr">
        <is>
          <t>定量的な下肢筋力測定, 開眼片脚立位時間, TUG, 10m歩行速度, Berg Balance Scale（BBS）, SPPB、Functional Reach Test（FRT）, 5回椅子立ち上がりテスト, 深部感覚評価, 認知機能, 注意障害, 遂行機能, せん妄, 転倒恐怖感, 過去の転倒歴, 既往疾患の有無（脳血管疾患、パーキンソン病など）, 薬剤（向精神薬、降圧薬、利尿薬、ポリファーマシーなど）, ベッド周囲および病室環境</t>
        </is>
      </c>
      <c r="AF246" s="3" t="inlineStr">
        <is>
          <t>決まっている</t>
        </is>
      </c>
      <c r="AG246" s="3" t="inlineStr">
        <is>
          <t>術後1日目</t>
        </is>
      </c>
      <c r="AI246" s="3" t="inlineStr">
        <is>
          <t>下肢筋力強化, バランス練習, 歩行練習, 歩容改善, 起立、着座動作練習, 環境調整, 補助具、装具の適正化, 認知面への介入, 行動面への介入, 薬剤調整, 教育、指導</t>
        </is>
      </c>
    </row>
    <row r="247" ht="22.5" customHeight="1">
      <c r="A247" s="32" t="n">
        <v>46107.60938682871</v>
      </c>
      <c r="B247" s="3" t="inlineStr">
        <is>
          <t>鷲見　義和</t>
        </is>
      </c>
      <c r="C247" s="3" t="inlineStr">
        <is>
          <t>名寄市立総合病院</t>
        </is>
      </c>
      <c r="D247" s="3" t="inlineStr">
        <is>
          <t>北海道</t>
        </is>
      </c>
      <c r="E247" s="3" t="inlineStr">
        <is>
          <t>reha@nayoroch.jp</t>
        </is>
      </c>
      <c r="F247" s="3" t="inlineStr">
        <is>
          <t>リハビリテーション科/理学療法士</t>
        </is>
      </c>
      <c r="G247" s="3" t="n">
        <v>124</v>
      </c>
      <c r="H247" s="3" t="n">
        <v>8</v>
      </c>
      <c r="I247" s="3" t="n">
        <v>6</v>
      </c>
      <c r="J247" s="3" t="inlineStr">
        <is>
          <t>届け出をしておらず、検討もしていない</t>
        </is>
      </c>
      <c r="K247" s="3" t="inlineStr">
        <is>
          <t>関節可動域運動, 筋力増強運動, 自主運動指導, 離床（例：車椅子移乗,立位,歩行など）</t>
        </is>
      </c>
      <c r="L247" s="3" t="inlineStr">
        <is>
          <t>全症例の50％〜74％程度</t>
        </is>
      </c>
      <c r="M247" s="3" t="inlineStr">
        <is>
          <t>手術前下肢モビライゼーション　ストレッチ　端座位での足底接地など</t>
        </is>
      </c>
      <c r="N247" s="3" t="inlineStr">
        <is>
          <t>全症例の25％〜49％程度</t>
        </is>
      </c>
      <c r="P247" s="3" t="inlineStr">
        <is>
          <t>全症例の25％〜49％程度</t>
        </is>
      </c>
      <c r="R247" s="3" t="inlineStr">
        <is>
          <t>全症例の25％〜49％程度</t>
        </is>
      </c>
      <c r="T247" s="3" t="inlineStr">
        <is>
          <t>握力, 歩行速度, 下腿周径</t>
        </is>
      </c>
      <c r="V247" s="3" t="inlineStr">
        <is>
          <t>認知機能, 握力</t>
        </is>
      </c>
      <c r="X247" s="3" t="inlineStr">
        <is>
          <t>実施していない</t>
        </is>
      </c>
      <c r="Y247" s="3" t="inlineStr">
        <is>
          <t>評価項目が多くなり　大変であるため</t>
        </is>
      </c>
      <c r="Z247" s="3" t="inlineStr">
        <is>
          <t>Barthel Index（BI）</t>
        </is>
      </c>
      <c r="AB247" s="3" t="inlineStr">
        <is>
          <t>AMTS</t>
        </is>
      </c>
      <c r="AD247" s="3" t="inlineStr">
        <is>
          <t>認知機能, 6m歩行速度</t>
        </is>
      </c>
      <c r="AF247" s="3" t="inlineStr">
        <is>
          <t>決まっている</t>
        </is>
      </c>
      <c r="AG247" s="3" t="inlineStr">
        <is>
          <t>7日以内</t>
        </is>
      </c>
      <c r="AI247" s="3" t="inlineStr">
        <is>
          <t>下肢筋力強化, バランス練習, 歩行練習, 歩容改善, 起立、着座動作練習</t>
        </is>
      </c>
    </row>
    <row r="248" ht="22.5" customHeight="1">
      <c r="A248" s="32" t="n">
        <v>46107.66641671296</v>
      </c>
      <c r="B248" s="3" t="inlineStr">
        <is>
          <t>門脇　理貴</t>
        </is>
      </c>
      <c r="C248" s="3" t="inlineStr">
        <is>
          <t>社会医療法人三栄会　ツカザキ病院</t>
        </is>
      </c>
      <c r="D248" s="3" t="inlineStr">
        <is>
          <t>兵庫県</t>
        </is>
      </c>
      <c r="E248" s="3" t="inlineStr">
        <is>
          <t>y-kadowaki@saneikai-hp.jp</t>
        </is>
      </c>
      <c r="F248" s="3" t="inlineStr">
        <is>
          <t>リハビリテーション科/理学療法士</t>
        </is>
      </c>
      <c r="G248" s="3" t="n">
        <v>244</v>
      </c>
      <c r="H248" s="3" t="n">
        <v>12</v>
      </c>
      <c r="I248" s="3" t="n">
        <v>9</v>
      </c>
      <c r="J248" s="3" t="inlineStr">
        <is>
          <t>現在、算定している</t>
        </is>
      </c>
      <c r="K248" s="3" t="inlineStr">
        <is>
          <t>関節可動域運動, 筋力増強運動, DVT予防, リラクセーション, ポジショニング, 自主運動指導, 術後リハビリテーションのオリエンテーション</t>
        </is>
      </c>
      <c r="L248" s="3" t="inlineStr">
        <is>
          <t>全症例の25％〜49％程度</t>
        </is>
      </c>
      <c r="N248" s="3" t="inlineStr">
        <is>
          <t>全症例の50％〜74％程度</t>
        </is>
      </c>
      <c r="O248" s="3" t="inlineStr">
        <is>
          <t>術後せん妄を発症しないよう、術前から看護師と協同してリスク評価を行い、環境設定や心理サポートを行っている。</t>
        </is>
      </c>
      <c r="P248" s="3" t="inlineStr">
        <is>
          <t>全症例の0％〜24％程度</t>
        </is>
      </c>
      <c r="R248" s="3" t="inlineStr">
        <is>
          <t>全症例の0％〜24％程度</t>
        </is>
      </c>
      <c r="T248" s="3" t="inlineStr">
        <is>
          <t>握力, 膝伸展筋力, 歩行速度</t>
        </is>
      </c>
      <c r="V248" s="3" t="inlineStr">
        <is>
          <t>認知機能</t>
        </is>
      </c>
      <c r="X248" s="3" t="inlineStr">
        <is>
          <t>実施していない</t>
        </is>
      </c>
      <c r="Y248" s="3" t="inlineStr">
        <is>
          <t>身体機能、ADLの個別評価中心に実施しており、評価項目が増加することからスクリーニング評価は実施していない。</t>
        </is>
      </c>
      <c r="Z248" s="3" t="inlineStr">
        <is>
          <t>Barthel Index（BI）, FIM</t>
        </is>
      </c>
      <c r="AB248" s="3" t="inlineStr">
        <is>
          <t>MMSE, HDS-R, AMTS</t>
        </is>
      </c>
      <c r="AD248" s="3" t="inlineStr">
        <is>
          <t>定量的な下肢筋力測定, 10m歩行速度, 認知機能, 過去の転倒歴, 既往疾患の有無（脳血管疾患、パーキンソン病など）, ベッド周囲および病室環境</t>
        </is>
      </c>
      <c r="AF248" s="3" t="inlineStr">
        <is>
          <t>決まっている</t>
        </is>
      </c>
      <c r="AG248" s="3" t="inlineStr">
        <is>
          <t>認知機能評価は術後４日目、運動機能は術後1週、2週と1週ごとに評価している。</t>
        </is>
      </c>
      <c r="AI248" s="3" t="inlineStr">
        <is>
          <t>下肢筋力強化, バランス練習, 歩行練習, 歩容改善, 起立、着座動作練習, 環境調整, 補助具、装具の適正化, 認知面への介入, 行動面への介入, 教育、指導</t>
        </is>
      </c>
    </row>
    <row r="249" ht="22.5" customHeight="1">
      <c r="A249" s="32" t="n">
        <v>46107.68401334491</v>
      </c>
      <c r="B249" s="3" t="inlineStr">
        <is>
          <t>笠原　宏子</t>
        </is>
      </c>
      <c r="C249" s="3" t="inlineStr">
        <is>
          <t>千葉労災病院</t>
        </is>
      </c>
      <c r="D249" s="3" t="inlineStr">
        <is>
          <t>千葉県</t>
        </is>
      </c>
      <c r="E249" s="3" t="inlineStr">
        <is>
          <t>rehabilitationka@chibah.johas.go.jp</t>
        </is>
      </c>
      <c r="F249" s="3" t="inlineStr">
        <is>
          <t>中央リハビリテーション部／理学療法士</t>
        </is>
      </c>
      <c r="G249" s="3" t="n">
        <v>119</v>
      </c>
      <c r="H249" s="3" t="n">
        <v>10</v>
      </c>
      <c r="I249" s="3" t="n">
        <v>7</v>
      </c>
      <c r="J249" s="3" t="inlineStr">
        <is>
          <t>届け出をしておらず、検討もしていない</t>
        </is>
      </c>
      <c r="K249" s="3" t="inlineStr">
        <is>
          <t>関節可動域運動, 筋力増強運動, DVT予防, ポジショニング, 術後リハビリテーションのオリエンテーション</t>
        </is>
      </c>
      <c r="L249" s="3" t="inlineStr">
        <is>
          <t>全症例の0％〜24％程度</t>
        </is>
      </c>
      <c r="N249" s="3" t="inlineStr">
        <is>
          <t>全症例の0％〜24％程度</t>
        </is>
      </c>
      <c r="P249" s="3" t="inlineStr">
        <is>
          <t>全症例の0％〜24％程度</t>
        </is>
      </c>
      <c r="R249" s="3" t="inlineStr">
        <is>
          <t>全症例の0％〜24％程度</t>
        </is>
      </c>
      <c r="T249" s="3" t="inlineStr">
        <is>
          <t>実施していない</t>
        </is>
      </c>
      <c r="U249" s="3" t="inlineStr">
        <is>
          <t>一般的な評価は実施しているがサルコペニアの評価としては実施していない。</t>
        </is>
      </c>
      <c r="V249" s="3" t="inlineStr">
        <is>
          <t>実施していない</t>
        </is>
      </c>
      <c r="W249" s="3" t="inlineStr">
        <is>
          <t>一般的な評価は実施しているがフレイルの評価としては実施していない。</t>
        </is>
      </c>
      <c r="X249" s="3" t="inlineStr">
        <is>
          <t>実施していない</t>
        </is>
      </c>
      <c r="Y249" s="3" t="inlineStr">
        <is>
          <t>一般的な評価は実施しているがロコモティブシンドロームの評価としては実施していない。</t>
        </is>
      </c>
      <c r="Z249" s="3" t="inlineStr">
        <is>
          <t>Barthel Index（BI）, FIM</t>
        </is>
      </c>
      <c r="AB249" s="3" t="inlineStr">
        <is>
          <t>HDS-R</t>
        </is>
      </c>
      <c r="AD249" s="3" t="inlineStr">
        <is>
          <t>実施していない</t>
        </is>
      </c>
      <c r="AE249" s="3" t="inlineStr">
        <is>
          <t>それぞれが必要に応じた評価を実施しており定められたものはない。</t>
        </is>
      </c>
      <c r="AI249" s="3" t="inlineStr">
        <is>
          <t>下肢筋力強化, バランス練習, 歩行練習, 歩容改善, 起立、着座動作練習, 環境調整, 補助具、装具の適正化, 認知面への介入, 教育、指導</t>
        </is>
      </c>
    </row>
    <row r="250" ht="22.5" customHeight="1">
      <c r="A250" s="32" t="n">
        <v>46107.71524329861</v>
      </c>
      <c r="B250" s="3" t="inlineStr">
        <is>
          <t>中野博介</t>
        </is>
      </c>
      <c r="C250" s="3" t="inlineStr">
        <is>
          <t>高木病院</t>
        </is>
      </c>
      <c r="D250" s="3" t="inlineStr">
        <is>
          <t>東京都</t>
        </is>
      </c>
      <c r="E250" s="3" t="inlineStr">
        <is>
          <t>ichibanninaritaibymirei@gmail.com</t>
        </is>
      </c>
      <c r="F250" s="3" t="inlineStr">
        <is>
          <t>リハビリテーション科／理学療法士</t>
        </is>
      </c>
      <c r="G250" s="3" t="n">
        <v>255</v>
      </c>
      <c r="H250" s="3" t="n">
        <v>19</v>
      </c>
      <c r="I250" s="3" t="n">
        <v>9</v>
      </c>
      <c r="J250" s="3" t="inlineStr">
        <is>
          <t>届け出はしていないが、現在検討中である</t>
        </is>
      </c>
      <c r="K250" s="3" t="inlineStr">
        <is>
          <t>関節可動域運動, 筋力増強運動, 呼吸リハビリテーション, DVT予防, ポジショニング, 自主運動指導, 術後リハビリテーションのオリエンテーション</t>
        </is>
      </c>
      <c r="L250" s="3" t="inlineStr">
        <is>
          <t>全症例の75％〜100％程度</t>
        </is>
      </c>
      <c r="M250" s="3" t="inlineStr">
        <is>
          <t>痛みが強い症例は坐薬を検討</t>
        </is>
      </c>
      <c r="N250" s="3" t="inlineStr">
        <is>
          <t>全症例の0％〜24％程度</t>
        </is>
      </c>
      <c r="P250" s="3" t="inlineStr">
        <is>
          <t>全症例の0％〜24％程度</t>
        </is>
      </c>
      <c r="R250" s="3" t="inlineStr">
        <is>
          <t>全症例の0％〜24％程度</t>
        </is>
      </c>
      <c r="T250" s="3" t="inlineStr">
        <is>
          <t>実施していない</t>
        </is>
      </c>
      <c r="U250" s="3" t="inlineStr">
        <is>
          <t>サルコペニアの評価は実施していないため</t>
        </is>
      </c>
      <c r="V250" s="3" t="inlineStr">
        <is>
          <t>実施していない</t>
        </is>
      </c>
      <c r="W250" s="3" t="inlineStr">
        <is>
          <t>フレイルの評価は実施していないため</t>
        </is>
      </c>
      <c r="X250" s="3" t="inlineStr">
        <is>
          <t>実施していない</t>
        </is>
      </c>
      <c r="Y250" s="3" t="inlineStr">
        <is>
          <t>ロコモティブシンドロームの評価は実施していないため</t>
        </is>
      </c>
      <c r="Z250" s="3" t="inlineStr">
        <is>
          <t>FIM</t>
        </is>
      </c>
      <c r="AB250" s="3" t="inlineStr">
        <is>
          <t>AMTS</t>
        </is>
      </c>
      <c r="AD250" s="3" t="inlineStr">
        <is>
          <t>開眼片脚立位時間, TUG, 認知機能, 過去の転倒歴</t>
        </is>
      </c>
      <c r="AF250" s="3" t="inlineStr">
        <is>
          <t>決まっている</t>
        </is>
      </c>
      <c r="AG250" s="3" t="inlineStr">
        <is>
          <t>退院前日に評価　術後2〜3週程度</t>
        </is>
      </c>
      <c r="AI250" s="3" t="inlineStr">
        <is>
          <t>下肢筋力強化, バランス練習, 歩行練習, 歩容改善, 環境調整, 補助具、装具の適正化, 認知面への介入, 行動面への介入, 教育、指導</t>
        </is>
      </c>
    </row>
    <row r="251" ht="22.5" customHeight="1">
      <c r="A251" s="32" t="n">
        <v>46107.74305033564</v>
      </c>
      <c r="B251" s="3" t="inlineStr">
        <is>
          <t>髙山　千夏</t>
        </is>
      </c>
      <c r="C251" s="3" t="inlineStr">
        <is>
          <t>長野赤十字病院</t>
        </is>
      </c>
      <c r="D251" s="3" t="inlineStr">
        <is>
          <t>長野県</t>
        </is>
      </c>
      <c r="E251" s="3" t="inlineStr">
        <is>
          <t>reha.nagano.med.jrc@gmail.com</t>
        </is>
      </c>
      <c r="F251" s="3" t="inlineStr">
        <is>
          <t>リハビリテーション科/理学療法士</t>
        </is>
      </c>
      <c r="G251" s="3" t="n">
        <v>221</v>
      </c>
      <c r="H251" s="3" t="n">
        <v>10</v>
      </c>
      <c r="I251" s="3" t="n">
        <v>0</v>
      </c>
      <c r="J251" s="3" t="inlineStr">
        <is>
          <t>届け出をしておらず、検討もしていない</t>
        </is>
      </c>
      <c r="K251" s="3" t="inlineStr">
        <is>
          <t>実施していない</t>
        </is>
      </c>
      <c r="L251" s="3" t="inlineStr">
        <is>
          <t>全症例の75％〜100％程度</t>
        </is>
      </c>
      <c r="N251" s="3" t="inlineStr">
        <is>
          <t>全症例の0％〜24％程度</t>
        </is>
      </c>
      <c r="P251" s="3" t="inlineStr">
        <is>
          <t>全症例の0％〜24％程度</t>
        </is>
      </c>
      <c r="R251" s="3" t="inlineStr">
        <is>
          <t>全症例の0％〜24％程度</t>
        </is>
      </c>
      <c r="T251" s="3" t="inlineStr">
        <is>
          <t>実施していない</t>
        </is>
      </c>
      <c r="V251" s="3" t="inlineStr">
        <is>
          <t>実施していない</t>
        </is>
      </c>
      <c r="X251" s="3" t="inlineStr">
        <is>
          <t>実施していない</t>
        </is>
      </c>
      <c r="Z251" s="3" t="inlineStr">
        <is>
          <t>Barthel Index（BI）, FIM</t>
        </is>
      </c>
      <c r="AB251" s="3" t="inlineStr">
        <is>
          <t>MMSE, HDS-R, AMTS</t>
        </is>
      </c>
      <c r="AD251" s="3" t="inlineStr">
        <is>
          <t>認知機能, 過去の転倒歴</t>
        </is>
      </c>
      <c r="AF251" s="3" t="inlineStr">
        <is>
          <t>決まっていない</t>
        </is>
      </c>
      <c r="AI251" s="3" t="inlineStr">
        <is>
          <t>下肢筋力強化, 歩行練習, 起立、着座動作練習, 環境調整, 教育、指導</t>
        </is>
      </c>
    </row>
    <row r="252" ht="22.5" customHeight="1">
      <c r="A252" s="32" t="n">
        <v>46107.77028216435</v>
      </c>
      <c r="B252" s="3" t="inlineStr">
        <is>
          <t>奥村拓也</t>
        </is>
      </c>
      <c r="C252" s="3" t="inlineStr">
        <is>
          <t>光仁会　木島病院</t>
        </is>
      </c>
      <c r="D252" s="3" t="inlineStr">
        <is>
          <t>石川県</t>
        </is>
      </c>
      <c r="E252" s="3" t="inlineStr">
        <is>
          <t>hiramatsu@kijima-hp.or.jp</t>
        </is>
      </c>
      <c r="F252" s="3" t="inlineStr">
        <is>
          <t>リハビリテーション科/理学療法士</t>
        </is>
      </c>
      <c r="G252" s="3" t="n">
        <v>61</v>
      </c>
      <c r="H252" s="3" t="n">
        <v>16</v>
      </c>
      <c r="I252" s="3" t="n">
        <v>4</v>
      </c>
      <c r="J252" s="3" t="inlineStr">
        <is>
          <t>届け出をしておらず、検討もしていない</t>
        </is>
      </c>
      <c r="K252" s="3" t="inlineStr">
        <is>
          <t>関節可動域運動, 筋力増強運動, 自主運動指導, 離床（例：車椅子移乗,立位,歩行など）</t>
        </is>
      </c>
      <c r="L252" s="3" t="inlineStr">
        <is>
          <t>全症例の25％〜49％程度</t>
        </is>
      </c>
      <c r="N252" s="3" t="inlineStr">
        <is>
          <t>全症例の25％〜49％程度</t>
        </is>
      </c>
      <c r="P252" s="3" t="inlineStr">
        <is>
          <t>全症例の0％〜24％程度</t>
        </is>
      </c>
      <c r="R252" s="3" t="inlineStr">
        <is>
          <t>全症例の0％〜24％程度</t>
        </is>
      </c>
      <c r="T252" s="3" t="inlineStr">
        <is>
          <t>TUG, 開眼片脚立位時間, 下腿周径</t>
        </is>
      </c>
      <c r="V252" s="3" t="inlineStr">
        <is>
          <t>TUG</t>
        </is>
      </c>
      <c r="X252" s="3" t="inlineStr">
        <is>
          <t>実施していない</t>
        </is>
      </c>
      <c r="Z252" s="3" t="inlineStr">
        <is>
          <t>Barthel Index（BI）</t>
        </is>
      </c>
      <c r="AB252" s="3" t="inlineStr">
        <is>
          <t>AMTS</t>
        </is>
      </c>
      <c r="AD252" s="3" t="inlineStr">
        <is>
          <t>TUG, 10m歩行速度, Berg Balance Scale（BBS）</t>
        </is>
      </c>
      <c r="AF252" s="3" t="inlineStr">
        <is>
          <t>決まっていない</t>
        </is>
      </c>
      <c r="AH252" s="3" t="inlineStr">
        <is>
          <t>歩行補助具変更時に測定</t>
        </is>
      </c>
      <c r="AI252" s="3" t="inlineStr">
        <is>
          <t>下肢筋力強化, バランス練習, 歩行練習, 歩容改善, 起立、着座動作練習, 環境調整, 補助具、装具の適正化, 認知面への介入, 行動面への介入</t>
        </is>
      </c>
    </row>
    <row r="253" ht="22.5" customHeight="1">
      <c r="A253" s="32" t="n">
        <v>46107.77517799768</v>
      </c>
      <c r="B253" s="3" t="inlineStr">
        <is>
          <t>佐藤　圭子</t>
        </is>
      </c>
      <c r="C253" s="3" t="inlineStr">
        <is>
          <t>日本赤十字社　浜松赤十字病院</t>
        </is>
      </c>
      <c r="D253" s="3" t="inlineStr">
        <is>
          <t>静岡県</t>
        </is>
      </c>
      <c r="E253" s="3" t="inlineStr">
        <is>
          <t>rihabiri@hamamatsu.jrc.or.jp</t>
        </is>
      </c>
      <c r="F253" s="3" t="inlineStr">
        <is>
          <t>リハビリテーション課/作業療法士</t>
        </is>
      </c>
      <c r="G253" s="3" t="n">
        <v>224</v>
      </c>
      <c r="H253" s="3" t="n">
        <v>5</v>
      </c>
      <c r="I253" s="3" t="n">
        <v>2</v>
      </c>
      <c r="J253" s="3" t="inlineStr">
        <is>
          <t>届け出をしておらず、検討もしていない</t>
        </is>
      </c>
      <c r="K253" s="3" t="inlineStr">
        <is>
          <t>関節可動域運動, 筋力増強運動, DVT予防, リラクセーション, ポジショニング, 自主運動指導, 離床（例：車椅子移乗,立位,歩行など）</t>
        </is>
      </c>
      <c r="L253" s="3" t="inlineStr">
        <is>
          <t>全症例の25％〜49％程度</t>
        </is>
      </c>
      <c r="N253" s="3" t="inlineStr">
        <is>
          <t>全症例の25％〜49％程度</t>
        </is>
      </c>
      <c r="P253" s="3" t="inlineStr">
        <is>
          <t>全症例の0％〜24％程度</t>
        </is>
      </c>
      <c r="R253" s="3" t="inlineStr">
        <is>
          <t>全症例の0％〜24％程度</t>
        </is>
      </c>
      <c r="T253" s="3" t="inlineStr">
        <is>
          <t>膝伸展筋力</t>
        </is>
      </c>
      <c r="V253" s="3" t="inlineStr">
        <is>
          <t>TUG, 認知機能</t>
        </is>
      </c>
      <c r="X253" s="3" t="inlineStr">
        <is>
          <t>実施していない</t>
        </is>
      </c>
      <c r="Y253" s="3" t="inlineStr">
        <is>
          <t>ロコモティブシンドローム評価は難易度が高く、大腿骨近位部骨折の急性期患者では実施できる症例が少ないため、実施していません</t>
        </is>
      </c>
      <c r="Z253" s="3" t="inlineStr">
        <is>
          <t>Barthel Index（BI）</t>
        </is>
      </c>
      <c r="AB253" s="3" t="inlineStr">
        <is>
          <t>MMSE, HDS-R</t>
        </is>
      </c>
      <c r="AD253" s="3" t="inlineStr">
        <is>
          <t>認知機能</t>
        </is>
      </c>
      <c r="AF253" s="3" t="inlineStr">
        <is>
          <t>決まっている</t>
        </is>
      </c>
      <c r="AG253" s="3" t="inlineStr">
        <is>
          <t>術後４日以内</t>
        </is>
      </c>
      <c r="AI253" s="3" t="inlineStr">
        <is>
          <t>下肢筋力強化, バランス練習, 歩行練習, 歩容改善, 起立、着座動作練習, 環境調整, 補助具、装具の適正化, 認知面への介入</t>
        </is>
      </c>
    </row>
    <row r="254" ht="22.5" customHeight="1">
      <c r="A254" s="32" t="n">
        <v>46108.39442736111</v>
      </c>
      <c r="B254" s="3" t="inlineStr">
        <is>
          <t>永石　隼也</t>
        </is>
      </c>
      <c r="C254" s="3" t="inlineStr">
        <is>
          <t>唐津赤十字病院</t>
        </is>
      </c>
      <c r="D254" s="3" t="inlineStr">
        <is>
          <t>佐賀県</t>
        </is>
      </c>
      <c r="E254" s="3" t="inlineStr">
        <is>
          <t>karafls2022@gmail.com</t>
        </is>
      </c>
      <c r="F254" s="3" t="inlineStr">
        <is>
          <t>リハビリテーション技術課／理学療法士</t>
        </is>
      </c>
      <c r="G254" s="3" t="n">
        <v>121</v>
      </c>
      <c r="H254" s="3" t="n">
        <v>6</v>
      </c>
      <c r="I254" s="3" t="n">
        <v>0</v>
      </c>
      <c r="J254" s="3" t="inlineStr">
        <is>
          <t>届け出をしておらず、検討もしていない</t>
        </is>
      </c>
      <c r="K254" s="3" t="inlineStr">
        <is>
          <t>関節可動域運動, 筋力増強運動, 呼吸リハビリテーション, DVT予防, ポジショニング, 自主運動指導, 術後リハビリテーションのオリエンテーション</t>
        </is>
      </c>
      <c r="L254" s="3" t="inlineStr">
        <is>
          <t>全症例の50％〜74％程度</t>
        </is>
      </c>
      <c r="M254" s="3" t="inlineStr">
        <is>
          <t>鎮痛剤にて対応</t>
        </is>
      </c>
      <c r="N254" s="3" t="inlineStr">
        <is>
          <t>全症例の50％〜74％程度</t>
        </is>
      </c>
      <c r="O254" s="3" t="inlineStr">
        <is>
          <t>特になし</t>
        </is>
      </c>
      <c r="P254" s="3" t="inlineStr">
        <is>
          <t>全症例の25％〜49％程度</t>
        </is>
      </c>
      <c r="R254" s="3" t="inlineStr">
        <is>
          <t>全症例の0％〜24％程度</t>
        </is>
      </c>
      <c r="T254" s="3" t="inlineStr">
        <is>
          <t>実施していない</t>
        </is>
      </c>
      <c r="U254" s="3" t="inlineStr">
        <is>
          <t>認知症患者が半数以上を占めており、評価が難しいため。</t>
        </is>
      </c>
      <c r="V254" s="3" t="inlineStr">
        <is>
          <t>実施していない</t>
        </is>
      </c>
      <c r="W254" s="3" t="inlineStr">
        <is>
          <t>認知症患者が半数以上を占めており、評価が難しいため。</t>
        </is>
      </c>
      <c r="X254" s="3" t="inlineStr">
        <is>
          <t>実施していない</t>
        </is>
      </c>
      <c r="Y254" s="3" t="inlineStr">
        <is>
          <t>認知症患者が半数以上を占めており、評価が難しいため。</t>
        </is>
      </c>
      <c r="Z254" s="3" t="inlineStr">
        <is>
          <t>Barthel Index（BI）</t>
        </is>
      </c>
      <c r="AB254" s="3" t="inlineStr">
        <is>
          <t>MMSE</t>
        </is>
      </c>
      <c r="AD254" s="3" t="inlineStr">
        <is>
          <t>実施していない</t>
        </is>
      </c>
      <c r="AE254" s="3" t="inlineStr">
        <is>
          <t>認知症患者が半数以上を占めており、評価が難しいため。</t>
        </is>
      </c>
      <c r="AI254" s="3" t="inlineStr">
        <is>
          <t>下肢筋力強化, バランス練習, 歩行練習, 歩容改善, 起立、着座動作練習, 環境調整, 補助具、装具の適正化</t>
        </is>
      </c>
    </row>
    <row r="255" ht="22.5" customHeight="1">
      <c r="A255" s="32" t="n">
        <v>46108.43782519676</v>
      </c>
      <c r="B255" s="3" t="inlineStr">
        <is>
          <t>関戸　勇介</t>
        </is>
      </c>
      <c r="C255" s="3" t="inlineStr">
        <is>
          <t>大和市立病院</t>
        </is>
      </c>
      <c r="D255" s="3" t="inlineStr">
        <is>
          <t>神奈川県</t>
        </is>
      </c>
      <c r="E255" s="3" t="inlineStr">
        <is>
          <t>htius-7-y@live.jp</t>
        </is>
      </c>
      <c r="F255" s="3" t="inlineStr">
        <is>
          <t>リハビリテーション療法科/作業療法士</t>
        </is>
      </c>
      <c r="G255" s="3" t="n">
        <v>102</v>
      </c>
      <c r="H255" s="3" t="n">
        <v>10.5</v>
      </c>
      <c r="I255" s="3" t="n">
        <v>0</v>
      </c>
      <c r="J255" s="3" t="inlineStr">
        <is>
          <t>届け出をしておらず、検討もしていない</t>
        </is>
      </c>
      <c r="K255" s="3" t="inlineStr">
        <is>
          <t>実施していない</t>
        </is>
      </c>
      <c r="L255" s="3" t="inlineStr">
        <is>
          <t>全症例の0％〜24％程度</t>
        </is>
      </c>
      <c r="N255" s="3" t="inlineStr">
        <is>
          <t>全症例の0％〜24％程度</t>
        </is>
      </c>
      <c r="P255" s="3" t="inlineStr">
        <is>
          <t>全症例の0％〜24％程度</t>
        </is>
      </c>
      <c r="R255" s="3" t="inlineStr">
        <is>
          <t>全症例の0％〜24％程度</t>
        </is>
      </c>
      <c r="T255" s="3" t="inlineStr">
        <is>
          <t>握力, 膝伸展筋力, 歩行速度, SPPB, TUG, 6分間歩行距離, 開眼片脚立位時間</t>
        </is>
      </c>
      <c r="V255" s="3" t="inlineStr">
        <is>
          <t>TUG, 6分間歩行距離, 認知機能, 抑うつや意欲低下, 握力</t>
        </is>
      </c>
      <c r="X255" s="3" t="inlineStr">
        <is>
          <t>実施していない</t>
        </is>
      </c>
      <c r="Y255" s="3" t="inlineStr">
        <is>
          <t>時間、単位数の都合にて</t>
        </is>
      </c>
      <c r="Z255" s="3" t="inlineStr">
        <is>
          <t>Barthel Index（BI）, FIM</t>
        </is>
      </c>
      <c r="AB255" s="3" t="inlineStr">
        <is>
          <t>HDS-R</t>
        </is>
      </c>
      <c r="AD255" s="3" t="inlineStr">
        <is>
          <t>実施していない</t>
        </is>
      </c>
      <c r="AE255" s="3" t="inlineStr">
        <is>
          <t>人員不足のため</t>
        </is>
      </c>
      <c r="AI255" s="3" t="inlineStr">
        <is>
          <t>下肢筋力強化, バランス練習, 歩行練習, 歩容改善, 起立、着座動作練習, 環境調整, 補助具、装具の適正化, 行動面への介入, 教育、指導</t>
        </is>
      </c>
    </row>
    <row r="256" ht="22.5" customHeight="1">
      <c r="A256" s="32" t="n">
        <v>46108.50053119213</v>
      </c>
      <c r="B256" s="3" t="inlineStr">
        <is>
          <t>成田　弦二</t>
        </is>
      </c>
      <c r="C256" s="3" t="inlineStr">
        <is>
          <t>留萌市立病院</t>
        </is>
      </c>
      <c r="D256" s="3" t="inlineStr">
        <is>
          <t>北海道</t>
        </is>
      </c>
      <c r="E256" s="3" t="inlineStr">
        <is>
          <t>reha@rumoi-hp.jp</t>
        </is>
      </c>
      <c r="F256" s="3" t="inlineStr">
        <is>
          <t>リハビリテーション科/理学療法士</t>
        </is>
      </c>
      <c r="G256" s="3" t="n">
        <v>85</v>
      </c>
      <c r="H256" s="3" t="n">
        <v>5</v>
      </c>
      <c r="I256" s="3" t="n">
        <v>4</v>
      </c>
      <c r="J256" s="3" t="inlineStr">
        <is>
          <t>届け出をしておらず、検討もしていない</t>
        </is>
      </c>
      <c r="K256" s="3" t="inlineStr">
        <is>
          <t>関節可動域運動, 筋力増強運動, ポジショニング, 自主運動指導, 術後リハビリテーションのオリエンテーション, 離床（例：車椅子移乗,立位,歩行など）</t>
        </is>
      </c>
      <c r="L256" s="3" t="inlineStr">
        <is>
          <t>全症例の25％〜49％程度</t>
        </is>
      </c>
      <c r="N256" s="3" t="inlineStr">
        <is>
          <t>全症例の0％〜24％程度</t>
        </is>
      </c>
      <c r="P256" s="3" t="inlineStr">
        <is>
          <t>全症例の0％〜24％程度</t>
        </is>
      </c>
      <c r="R256" s="3" t="inlineStr">
        <is>
          <t>全症例の0％〜24％程度</t>
        </is>
      </c>
      <c r="T256" s="3" t="inlineStr">
        <is>
          <t>握力, 膝伸展筋力, 歩行速度, TUG, 開眼片脚立位時間, 下腿周径</t>
        </is>
      </c>
      <c r="V256" s="3" t="inlineStr">
        <is>
          <t>TUG, 認知機能, 握力</t>
        </is>
      </c>
      <c r="X256" s="3" t="inlineStr">
        <is>
          <t>実施していない</t>
        </is>
      </c>
      <c r="Z256" s="3" t="inlineStr">
        <is>
          <t>Barthel Index（BI）, FIM</t>
        </is>
      </c>
      <c r="AB256" s="3" t="inlineStr">
        <is>
          <t>MMSE, HDS-R, MoCA</t>
        </is>
      </c>
      <c r="AD256" s="3" t="inlineStr">
        <is>
          <t>実施していない</t>
        </is>
      </c>
      <c r="AE256" s="3" t="inlineStr">
        <is>
          <t>「FLS活動」としての院内取り決めがないから</t>
        </is>
      </c>
      <c r="AI256" s="3" t="inlineStr">
        <is>
          <t>下肢筋力強化, バランス練習, 歩行練習, 歩容改善, 起立、着座動作練習, 環境調整, 補助具、装具の適正化, 認知面への介入, 行動面への介入, 教育、指導</t>
        </is>
      </c>
    </row>
    <row r="257" ht="22.5" customHeight="1">
      <c r="A257" s="32" t="n">
        <v>46108.68135131944</v>
      </c>
      <c r="B257" s="3" t="inlineStr">
        <is>
          <t>竹内悦子</t>
        </is>
      </c>
      <c r="C257" s="3" t="inlineStr">
        <is>
          <t>射水市民病院</t>
        </is>
      </c>
      <c r="D257" s="3" t="inlineStr">
        <is>
          <t>富山県</t>
        </is>
      </c>
      <c r="E257" s="3" t="inlineStr">
        <is>
          <t>rehabilitation@imizu-city-hosp.jp</t>
        </is>
      </c>
      <c r="F257" s="3" t="inlineStr">
        <is>
          <t>リハビリテーション科／理学療法士</t>
        </is>
      </c>
      <c r="G257" s="3" t="n">
        <v>110</v>
      </c>
      <c r="H257" s="3" t="n">
        <v>9</v>
      </c>
      <c r="I257" s="3" t="n">
        <v>0</v>
      </c>
      <c r="J257" s="3" t="inlineStr">
        <is>
          <t>届け出をしておらず、検討もしていない</t>
        </is>
      </c>
      <c r="K257" s="3" t="inlineStr">
        <is>
          <t>DVT予防, ポジショニング, 自主運動指導, 術後リハビリテーションのオリエンテーション</t>
        </is>
      </c>
      <c r="L257" s="3" t="inlineStr">
        <is>
          <t>全症例の0％〜24％程度</t>
        </is>
      </c>
      <c r="N257" s="3" t="inlineStr">
        <is>
          <t>全症例の0％〜24％程度</t>
        </is>
      </c>
      <c r="P257" s="3" t="inlineStr">
        <is>
          <t>全症例の0％〜24％程度</t>
        </is>
      </c>
      <c r="R257" s="3" t="inlineStr">
        <is>
          <t>全症例の0％〜24％程度</t>
        </is>
      </c>
      <c r="T257" s="3" t="inlineStr">
        <is>
          <t>握力, 膝伸展筋力, SPPB, 骨格筋量指数（SMI）, 四肢骨格筋量（ASM）, 下腿周径</t>
        </is>
      </c>
      <c r="V257" s="3" t="inlineStr">
        <is>
          <t>認知機能, 握力</t>
        </is>
      </c>
      <c r="X257" s="3" t="inlineStr">
        <is>
          <t>実施していない</t>
        </is>
      </c>
      <c r="Y257" s="3" t="inlineStr">
        <is>
          <t>サルコペニアの評価を行っているため。高齢で認知機能低下の方が多く実施が困難。
歩行補助具を使用される方がほとんどで2ステップテストが行えない。</t>
        </is>
      </c>
      <c r="Z257" s="3" t="inlineStr">
        <is>
          <t>Barthel Index（BI）</t>
        </is>
      </c>
      <c r="AB257" s="3" t="inlineStr">
        <is>
          <t>HDS-R</t>
        </is>
      </c>
      <c r="AD257" s="3" t="inlineStr">
        <is>
          <t>定量的な下肢筋力測定, SPPB、Functional Reach Test（FRT）, 認知機能, 過去の転倒歴, 既往疾患の有無（脳血管疾患、パーキンソン病など）, ベッド周囲および病室環境</t>
        </is>
      </c>
      <c r="AF257" s="3" t="inlineStr">
        <is>
          <t>決まっている</t>
        </is>
      </c>
      <c r="AG257" s="3" t="inlineStr">
        <is>
          <t>術前、術翌日、術後4週、退院時</t>
        </is>
      </c>
      <c r="AI257" s="3" t="inlineStr">
        <is>
          <t>下肢筋力強化, バランス練習, 歩行練習, 歩容改善, 起立、着座動作練習, 環境調整, 補助具、装具の適正化, 認知面への介入, 教育、指導</t>
        </is>
      </c>
    </row>
    <row r="258" ht="22.5" customHeight="1">
      <c r="A258" s="32" t="n">
        <v>46108.69066946759</v>
      </c>
      <c r="B258" s="3" t="inlineStr">
        <is>
          <t>小野　晶代</t>
        </is>
      </c>
      <c r="C258" s="3" t="inlineStr">
        <is>
          <t>岐阜清流病院</t>
        </is>
      </c>
      <c r="D258" s="3" t="inlineStr">
        <is>
          <t>岐阜県</t>
        </is>
      </c>
      <c r="E258" s="3" t="inlineStr">
        <is>
          <t>reha@skhosp.or.jp</t>
        </is>
      </c>
      <c r="F258" s="3" t="inlineStr">
        <is>
          <t>リハビリテーション療法課／理学療法士</t>
        </is>
      </c>
      <c r="G258" s="3" t="n">
        <v>145</v>
      </c>
      <c r="H258" s="3" t="n">
        <v>41</v>
      </c>
      <c r="I258" s="3" t="n">
        <v>16</v>
      </c>
      <c r="J258" s="3" t="inlineStr">
        <is>
          <t>届け出はしていないが、現在検討中である</t>
        </is>
      </c>
      <c r="K258" s="3" t="inlineStr">
        <is>
          <t>実施していない</t>
        </is>
      </c>
      <c r="L258" s="3" t="inlineStr">
        <is>
          <t>全症例の25％〜49％程度</t>
        </is>
      </c>
      <c r="N258" s="3" t="inlineStr">
        <is>
          <t>全症例の0％〜24％程度</t>
        </is>
      </c>
      <c r="P258" s="3" t="inlineStr">
        <is>
          <t>全症例の0％〜24％程度</t>
        </is>
      </c>
      <c r="R258" s="3" t="inlineStr">
        <is>
          <t>全症例の0％〜24％程度</t>
        </is>
      </c>
      <c r="T258" s="3" t="inlineStr">
        <is>
          <t>握力, 下腿周径</t>
        </is>
      </c>
      <c r="V258" s="3" t="inlineStr">
        <is>
          <t>認知機能, 握力</t>
        </is>
      </c>
      <c r="X258" s="3" t="inlineStr">
        <is>
          <t>実施していない</t>
        </is>
      </c>
      <c r="Y258" s="3" t="inlineStr">
        <is>
          <t>ロコモの評価項目が当院の定期評価項目に入っていないため</t>
        </is>
      </c>
      <c r="Z258" s="3" t="inlineStr">
        <is>
          <t>FIM</t>
        </is>
      </c>
      <c r="AB258" s="3" t="inlineStr">
        <is>
          <t>HDS-R</t>
        </is>
      </c>
      <c r="AD258" s="3" t="inlineStr">
        <is>
          <t>実施していない</t>
        </is>
      </c>
      <c r="AE258" s="3" t="inlineStr">
        <is>
          <t>ＦＬＳチームとして活動を行っていない為</t>
        </is>
      </c>
      <c r="AI258" s="3" t="inlineStr">
        <is>
          <t>下肢筋力強化, バランス練習, 歩行練習, 起立、着座動作練習, 環境調整, 認知面への介入</t>
        </is>
      </c>
    </row>
    <row r="259" ht="22.5" customHeight="1">
      <c r="A259" s="32" t="n">
        <v>46108.69759212963</v>
      </c>
      <c r="B259" s="3" t="inlineStr">
        <is>
          <t>秋山　茂雄</t>
        </is>
      </c>
      <c r="C259" s="3" t="inlineStr">
        <is>
          <t>厚生中央病院</t>
        </is>
      </c>
      <c r="D259" s="3" t="inlineStr">
        <is>
          <t>東京都</t>
        </is>
      </c>
      <c r="E259" s="3" t="inlineStr">
        <is>
          <t>reha1@kohseichuo.jp</t>
        </is>
      </c>
      <c r="F259" s="3" t="inlineStr">
        <is>
          <t>リハビリテーション科/理学療法士</t>
        </is>
      </c>
      <c r="G259" s="3" t="n">
        <v>107</v>
      </c>
      <c r="H259" s="3" t="n">
        <v>10</v>
      </c>
      <c r="I259" s="3" t="n">
        <v>3</v>
      </c>
      <c r="J259" s="3" t="inlineStr">
        <is>
          <t>届け出をしておらず、検討もしていない</t>
        </is>
      </c>
      <c r="K259" s="3" t="inlineStr">
        <is>
          <t>関節可動域運動, 筋力増強運動, 呼吸リハビリテーション, DVT予防, リラクセーション, ポジショニング, 自主運動指導, 術後リハビリテーションのオリエンテーション</t>
        </is>
      </c>
      <c r="L259" s="3" t="inlineStr">
        <is>
          <t>全症例の25％〜49％程度</t>
        </is>
      </c>
      <c r="N259" s="3" t="inlineStr">
        <is>
          <t>全症例の25％〜49％程度</t>
        </is>
      </c>
      <c r="P259" s="3" t="inlineStr">
        <is>
          <t>全症例の25％〜49％程度</t>
        </is>
      </c>
      <c r="R259" s="3" t="inlineStr">
        <is>
          <t>全症例の0％〜24％程度</t>
        </is>
      </c>
      <c r="T259" s="3" t="inlineStr">
        <is>
          <t>握力, 膝伸展筋力, 歩行速度, TUG, 6分間歩行距離, 開眼片脚立位時間, 下腿周径</t>
        </is>
      </c>
      <c r="V259" s="3" t="inlineStr">
        <is>
          <t>TUG, 6分間歩行距離, 認知機能, 握力</t>
        </is>
      </c>
      <c r="X259" s="3" t="inlineStr">
        <is>
          <t>実施していない</t>
        </is>
      </c>
      <c r="Z259" s="3" t="inlineStr">
        <is>
          <t>Barthel Index（BI）, FIM</t>
        </is>
      </c>
      <c r="AB259" s="3" t="inlineStr">
        <is>
          <t>MMSE, HDS-R</t>
        </is>
      </c>
      <c r="AD259" s="3" t="inlineStr">
        <is>
          <t>定量的な下肢筋力測定, 開眼片脚立位時間, TUG, 10m歩行速度, Berg Balance Scale（BBS）</t>
        </is>
      </c>
      <c r="AF259" s="3" t="inlineStr">
        <is>
          <t>わからない</t>
        </is>
      </c>
      <c r="AI259" s="3" t="inlineStr">
        <is>
          <t>下肢筋力強化, バランス練習, 歩行練習, 歩容改善, 起立、着座動作練習, 環境調整, 補助具、装具の適正化, 認知面への介入, 行動面への介入, 教育、指導</t>
        </is>
      </c>
    </row>
    <row r="260" ht="22.5" customHeight="1">
      <c r="A260" s="32" t="n">
        <v>46108.73083756944</v>
      </c>
      <c r="B260" s="3" t="inlineStr">
        <is>
          <t>田邉　拓哉</t>
        </is>
      </c>
      <c r="C260" s="3" t="inlineStr">
        <is>
          <t>白岡中央総合病院</t>
        </is>
      </c>
      <c r="D260" s="3" t="inlineStr">
        <is>
          <t>埼玉県</t>
        </is>
      </c>
      <c r="E260" s="3" t="inlineStr">
        <is>
          <t>shiraoka-rhpt@scghp.jp</t>
        </is>
      </c>
      <c r="F260" s="3" t="inlineStr">
        <is>
          <t>リハビリテーション技術科</t>
        </is>
      </c>
      <c r="G260" s="3" t="n">
        <v>124</v>
      </c>
      <c r="H260" s="3" t="n">
        <v>16</v>
      </c>
      <c r="I260" s="3" t="n">
        <v>4</v>
      </c>
      <c r="J260" s="3" t="inlineStr">
        <is>
          <t>現在、算定している</t>
        </is>
      </c>
      <c r="K260" s="3" t="inlineStr">
        <is>
          <t>関節可動域運動, 筋力増強運動, 呼吸リハビリテーション, DVT予防, リラクセーション, ポジショニング, 自主運動指導, 術後リハビリテーションのオリエンテーション, 離床（例：車椅子移乗,立位,歩行など）</t>
        </is>
      </c>
      <c r="L260" s="3" t="inlineStr">
        <is>
          <t>全症例の25％〜49％程度</t>
        </is>
      </c>
      <c r="N260" s="3" t="inlineStr">
        <is>
          <t>全症例の0％〜24％程度</t>
        </is>
      </c>
      <c r="P260" s="3" t="inlineStr">
        <is>
          <t>全症例の0％〜24％程度</t>
        </is>
      </c>
      <c r="R260" s="3" t="inlineStr">
        <is>
          <t>全症例の25％〜49％程度</t>
        </is>
      </c>
      <c r="T260" s="3" t="inlineStr">
        <is>
          <t>握力, 膝伸展筋力, TUG, 下腿周径</t>
        </is>
      </c>
      <c r="V260" s="3" t="inlineStr">
        <is>
          <t>TUG, 握力</t>
        </is>
      </c>
      <c r="X260" s="3" t="inlineStr">
        <is>
          <t>実施していない</t>
        </is>
      </c>
      <c r="Z260" s="3" t="inlineStr">
        <is>
          <t>Barthel Index（BI）</t>
        </is>
      </c>
      <c r="AB260" s="3" t="inlineStr">
        <is>
          <t>HDS-R</t>
        </is>
      </c>
      <c r="AD260" s="3" t="inlineStr">
        <is>
          <t>TUG, 過去の転倒歴, 既往疾患の有無（脳血管疾患、パーキンソン病など）, 薬剤（向精神薬、降圧薬、利尿薬、ポリファーマシーなど）, ベッド周囲および病室環境</t>
        </is>
      </c>
      <c r="AF260" s="3" t="inlineStr">
        <is>
          <t>決まっている</t>
        </is>
      </c>
      <c r="AG260" s="3" t="inlineStr">
        <is>
          <t>7.14日目</t>
        </is>
      </c>
      <c r="AI260" s="3" t="inlineStr">
        <is>
          <t>下肢筋力強化, バランス練習, 歩行練習, 歩容改善, 起立、着座動作練習, 環境調整, 補助具、装具の適正化, 認知面への介入, 行動面への介入, 薬剤調整, 教育、指導</t>
        </is>
      </c>
    </row>
    <row r="261" ht="22.5" customHeight="1">
      <c r="A261" s="32" t="n">
        <v>46108.78624967593</v>
      </c>
      <c r="B261" s="3" t="inlineStr">
        <is>
          <t>堀　悠樹</t>
        </is>
      </c>
      <c r="C261" s="3" t="inlineStr">
        <is>
          <t>千葉中央メディカルセンター</t>
        </is>
      </c>
      <c r="D261" s="3" t="inlineStr">
        <is>
          <t>千葉県</t>
        </is>
      </c>
      <c r="E261" s="3" t="inlineStr">
        <is>
          <t>rihabiri@ccmc.seikei-kai.or.jp</t>
        </is>
      </c>
      <c r="F261" s="3" t="inlineStr">
        <is>
          <t>リハビリテーション課／理学療法士</t>
        </is>
      </c>
      <c r="G261" s="3" t="n">
        <v>160</v>
      </c>
      <c r="H261" s="3" t="n">
        <v>34</v>
      </c>
      <c r="I261" s="3" t="n">
        <v>3</v>
      </c>
      <c r="J261" s="3" t="inlineStr">
        <is>
          <t>届け出はしていないが、現在検討中である</t>
        </is>
      </c>
      <c r="K261" s="3" t="inlineStr">
        <is>
          <t>関節可動域運動, 筋力増強運動, DVT予防, リラクセーション, ポジショニング, 自主運動指導, 術後リハビリテーションのオリエンテーション, 患者によって実施しないこともある</t>
        </is>
      </c>
      <c r="L261" s="3" t="inlineStr">
        <is>
          <t>全症例の25％〜49％程度</t>
        </is>
      </c>
      <c r="N261" s="3" t="inlineStr">
        <is>
          <t>全症例の0％〜24％程度</t>
        </is>
      </c>
      <c r="P261" s="3" t="inlineStr">
        <is>
          <t>全症例の0％〜24％程度</t>
        </is>
      </c>
      <c r="R261" s="3" t="inlineStr">
        <is>
          <t>全症例の0％〜24％程度</t>
        </is>
      </c>
      <c r="T261" s="3" t="inlineStr">
        <is>
          <t>膝伸展筋力, 歩行速度, SPPB, TUG, 開眼片脚立位時間, 患者によって実施しないこともある</t>
        </is>
      </c>
      <c r="V261" s="3" t="inlineStr">
        <is>
          <t>TUG, 認知機能, 患者によって実施しないこともある</t>
        </is>
      </c>
      <c r="X261" s="3" t="inlineStr">
        <is>
          <t>一般的な運動能力テスト実施、ロコモ特化した内容に限らない</t>
        </is>
      </c>
      <c r="Z261" s="3" t="inlineStr">
        <is>
          <t>Barthel Index（BI）, FIM</t>
        </is>
      </c>
      <c r="AB261" s="3" t="inlineStr">
        <is>
          <t>HDS-R, AMTS</t>
        </is>
      </c>
      <c r="AD261" s="3" t="inlineStr">
        <is>
          <t>認知機能, せん妄, 転倒恐怖感, 過去の転倒歴, 既往疾患の有無（脳血管疾患、パーキンソン病など）, 病院既定の転倒評価</t>
        </is>
      </c>
      <c r="AF261" s="3" t="inlineStr">
        <is>
          <t>決まっていない</t>
        </is>
      </c>
      <c r="AH261" s="3" t="inlineStr">
        <is>
          <t>活動の規模がまだ限定的であるため</t>
        </is>
      </c>
      <c r="AI261" s="3" t="inlineStr">
        <is>
          <t>下肢筋力強化, バランス練習, 歩行練習, 歩容改善, 起立、着座動作練習, 環境調整, 補助具、装具の適正化, 認知面への介入, 行動面への介入, 薬剤調整, 教育、指導</t>
        </is>
      </c>
    </row>
    <row r="262" ht="22.5" customHeight="1">
      <c r="A262" s="32" t="n">
        <v>46109.53988729166</v>
      </c>
      <c r="B262" s="3" t="inlineStr">
        <is>
          <t>加藤　潤</t>
        </is>
      </c>
      <c r="C262" s="3" t="inlineStr">
        <is>
          <t>医療法人社団三喜会　横浜新緑総合病院</t>
        </is>
      </c>
      <c r="D262" s="3" t="inlineStr">
        <is>
          <t>神奈川県</t>
        </is>
      </c>
      <c r="E262" s="3" t="inlineStr">
        <is>
          <t>j.katou@shinmidori.com</t>
        </is>
      </c>
      <c r="F262" s="3" t="inlineStr">
        <is>
          <t>リハビリテーション部　理学療法科/理学療法士</t>
        </is>
      </c>
      <c r="G262" s="3" t="n">
        <v>206</v>
      </c>
      <c r="H262" s="3" t="n">
        <v>6</v>
      </c>
      <c r="I262" s="3" t="n">
        <v>0</v>
      </c>
      <c r="J262" s="3" t="inlineStr">
        <is>
          <t>届け出はしていないが、現在検討中である</t>
        </is>
      </c>
      <c r="K262" s="3" t="inlineStr">
        <is>
          <t>DVT予防, ポジショニング, 自主運動指導, 術後リハビリテーションのオリエンテーション, 神経学的評価（特に腓骨神経）</t>
        </is>
      </c>
      <c r="L262" s="3" t="inlineStr">
        <is>
          <t>全症例の75％〜100％程度</t>
        </is>
      </c>
      <c r="M262" s="3" t="inlineStr">
        <is>
          <t>手術的侵襲による疼痛は、術部の炎症を考慮しながら物理療法を中心に対応している。基本的には、「日柄もの」で改善に合わせてADLを上げていく。疼痛改善までの期間は健側を中心としたADL動作の獲得を早期に目指している。</t>
        </is>
      </c>
      <c r="N262" s="3" t="inlineStr">
        <is>
          <t>全症例の25％〜49％程度</t>
        </is>
      </c>
      <c r="P262" s="3" t="inlineStr">
        <is>
          <t>全症例の0％〜24％程度</t>
        </is>
      </c>
      <c r="R262" s="3" t="inlineStr">
        <is>
          <t>全症例の25％〜49％程度</t>
        </is>
      </c>
      <c r="T262" s="3" t="inlineStr">
        <is>
          <t>膝伸展筋力, 下腿周径</t>
        </is>
      </c>
      <c r="V262" s="3" t="inlineStr">
        <is>
          <t>認知機能</t>
        </is>
      </c>
      <c r="X262" s="3" t="inlineStr">
        <is>
          <t>実施していない</t>
        </is>
      </c>
      <c r="Y262" s="3" t="inlineStr">
        <is>
          <t>術後疼痛が強い時期の入院期間中に、そこまでのテストをする必要性を感じていない。</t>
        </is>
      </c>
      <c r="Z262" s="3" t="inlineStr">
        <is>
          <t>Barthel Index（BI）</t>
        </is>
      </c>
      <c r="AB262" s="3" t="inlineStr">
        <is>
          <t>HDS-R, AMTS</t>
        </is>
      </c>
      <c r="AD262" s="3" t="inlineStr">
        <is>
          <t>深部感覚評価, 認知機能, せん妄, 過去の転倒歴, 既往疾患の有無（脳血管疾患、パーキンソン病など）, 薬剤（向精神薬、降圧薬、利尿薬、ポリファーマシーなど）, ベッド周囲および病室環境, Standing test for Imbalance and Disequilibirium （日本転倒予防学会）</t>
        </is>
      </c>
      <c r="AF262" s="3" t="inlineStr">
        <is>
          <t>決まっている</t>
        </is>
      </c>
      <c r="AG262" s="3" t="inlineStr">
        <is>
          <t>病棟内ADL設定を決定する時（ほぼ常時評価）</t>
        </is>
      </c>
      <c r="AI262" s="3" t="inlineStr">
        <is>
          <t>下肢筋力強化, バランス練習, 歩行練習, 歩容改善, 起立、着座動作練習, 環境調整, 補助具、装具の適正化, 認知面への介入, 行動面への介入, 薬剤調整, 教育、指導</t>
        </is>
      </c>
    </row>
    <row r="263" ht="22.5" customHeight="1">
      <c r="A263" s="32" t="n">
        <v>46110.92528930555</v>
      </c>
      <c r="B263" s="3" t="inlineStr">
        <is>
          <t>盛島幾子</t>
        </is>
      </c>
      <c r="C263" s="3" t="inlineStr">
        <is>
          <t>八戸市立市民病院</t>
        </is>
      </c>
      <c r="D263" s="3" t="inlineStr">
        <is>
          <t>青森県</t>
        </is>
      </c>
      <c r="E263" s="3" t="inlineStr">
        <is>
          <t>ikumori64@gmail.com</t>
        </is>
      </c>
      <c r="F263" s="3" t="inlineStr">
        <is>
          <t>リハビリテーション科/理学療法士</t>
        </is>
      </c>
      <c r="G263" s="3" t="n">
        <v>131</v>
      </c>
      <c r="H263" s="3" t="n">
        <v>7</v>
      </c>
      <c r="I263" s="3" t="n">
        <v>0</v>
      </c>
      <c r="J263" s="3" t="inlineStr">
        <is>
          <t>届け出をしておらず、検討もしていない</t>
        </is>
      </c>
      <c r="K263" s="3" t="inlineStr">
        <is>
          <t>実施していない</t>
        </is>
      </c>
      <c r="L263" s="3" t="inlineStr">
        <is>
          <t>全症例の0％〜24％程度</t>
        </is>
      </c>
      <c r="N263" s="3" t="inlineStr">
        <is>
          <t>全症例の0％〜24％程度</t>
        </is>
      </c>
      <c r="P263" s="3" t="inlineStr">
        <is>
          <t>全症例の0％〜24％程度</t>
        </is>
      </c>
      <c r="R263" s="3" t="inlineStr">
        <is>
          <t>全症例の0％〜24％程度</t>
        </is>
      </c>
      <c r="T263" s="3" t="inlineStr">
        <is>
          <t>開眼片脚立位時間</t>
        </is>
      </c>
      <c r="V263" s="3" t="inlineStr">
        <is>
          <t>認知機能</t>
        </is>
      </c>
      <c r="X263" s="3" t="inlineStr">
        <is>
          <t>立ち上がりテスト</t>
        </is>
      </c>
      <c r="Z263" s="3" t="inlineStr">
        <is>
          <t>Barthel Index（BI）</t>
        </is>
      </c>
      <c r="AB263" s="3" t="inlineStr">
        <is>
          <t>AMTS</t>
        </is>
      </c>
      <c r="AD263" s="3" t="inlineStr">
        <is>
          <t>認知機能, 既往疾患の有無（脳血管疾患、パーキンソン病など）</t>
        </is>
      </c>
      <c r="AF263" s="3" t="inlineStr">
        <is>
          <t>決まっている</t>
        </is>
      </c>
      <c r="AG263" s="3" t="inlineStr">
        <is>
          <t>リハビリ初回(概ね術後1日目)</t>
        </is>
      </c>
      <c r="AI263" s="3" t="inlineStr">
        <is>
          <t>下肢筋力強化, 歩行練習, 起立、着座動作練習, 環境調整, 補助具、装具の適正化, 行動面への介入, 教育、指導</t>
        </is>
      </c>
    </row>
    <row r="264" ht="22.5" customHeight="1">
      <c r="A264" s="32" t="n">
        <v>46111.31397519676</v>
      </c>
      <c r="B264" s="3" t="inlineStr">
        <is>
          <t>峯田　拓也</t>
        </is>
      </c>
      <c r="C264" s="3" t="inlineStr">
        <is>
          <t>徳島県立三好病院</t>
        </is>
      </c>
      <c r="D264" s="3" t="inlineStr">
        <is>
          <t>徳島県</t>
        </is>
      </c>
      <c r="E264" s="3" t="inlineStr">
        <is>
          <t>vinosyu.3@gmail.com</t>
        </is>
      </c>
      <c r="F264" s="3" t="inlineStr">
        <is>
          <t>リハビリテーション技術科</t>
        </is>
      </c>
      <c r="G264" s="3" t="n">
        <v>143</v>
      </c>
      <c r="H264" s="3" t="n">
        <v>8</v>
      </c>
      <c r="I264" s="3" t="n">
        <v>4</v>
      </c>
      <c r="J264" s="3" t="inlineStr">
        <is>
          <t>届け出をしておらず、検討もしていない</t>
        </is>
      </c>
      <c r="K264" s="3" t="inlineStr">
        <is>
          <t>関節可動域運動, DVT予防, 自主運動指導, 術後リハビリテーションのオリエンテーション</t>
        </is>
      </c>
      <c r="L264" s="3" t="inlineStr">
        <is>
          <t>全症例の0％〜24％程度</t>
        </is>
      </c>
      <c r="N264" s="3" t="inlineStr">
        <is>
          <t>全症例の0％〜24％程度</t>
        </is>
      </c>
      <c r="P264" s="3" t="inlineStr">
        <is>
          <t>全症例の0％〜24％程度</t>
        </is>
      </c>
      <c r="R264" s="3" t="inlineStr">
        <is>
          <t>全症例の0％〜24％程度</t>
        </is>
      </c>
      <c r="T264" s="3" t="inlineStr">
        <is>
          <t>実施していない</t>
        </is>
      </c>
      <c r="V264" s="3" t="inlineStr">
        <is>
          <t>実施していない</t>
        </is>
      </c>
      <c r="X264" s="3" t="inlineStr">
        <is>
          <t>実施していない</t>
        </is>
      </c>
      <c r="Z264" s="3" t="inlineStr">
        <is>
          <t>Barthel Index（BI）</t>
        </is>
      </c>
      <c r="AB264" s="3" t="inlineStr">
        <is>
          <t>MMSE, HDS-R, AMTS</t>
        </is>
      </c>
      <c r="AD264" s="3" t="inlineStr">
        <is>
          <t>実施していない</t>
        </is>
      </c>
      <c r="AI264" s="3" t="inlineStr">
        <is>
          <t>下肢筋力強化, バランス練習, 歩行練習, 歩容改善, 起立、着座動作練習, 環境調整, 教育、指導</t>
        </is>
      </c>
    </row>
    <row r="265" ht="22.5" customHeight="1">
      <c r="A265" s="32" t="n">
        <v>46111.37328810185</v>
      </c>
      <c r="B265" s="3" t="inlineStr">
        <is>
          <t>工藤　和美</t>
        </is>
      </c>
      <c r="C265" s="3" t="inlineStr">
        <is>
          <t>社会福祉法人恩賜財団済生会西条病院</t>
        </is>
      </c>
      <c r="D265" s="3" t="inlineStr">
        <is>
          <t>愛媛県</t>
        </is>
      </c>
      <c r="E265" s="3" t="inlineStr">
        <is>
          <t>iryohisyo02@saiseikaisaijo.jp</t>
        </is>
      </c>
      <c r="F265" s="3" t="inlineStr">
        <is>
          <t>リハビリテーション科／理学療法士</t>
        </is>
      </c>
      <c r="G265" s="3" t="n">
        <v>106</v>
      </c>
      <c r="H265" s="3" t="n">
        <v>13</v>
      </c>
      <c r="I265" s="3" t="n">
        <v>7</v>
      </c>
      <c r="J265" s="3" t="inlineStr">
        <is>
          <t>届け出をしておらず、検討もしていない</t>
        </is>
      </c>
      <c r="K265" s="3" t="inlineStr">
        <is>
          <t>関節可動域運動, 筋力増強運動, 呼吸リハビリテーション, DVT予防, リラクセーション, ポジショニング, 自主運動指導, 術後リハビリテーションのオリエンテーション, 離床（例：車椅子移乗,立位,歩行など）</t>
        </is>
      </c>
      <c r="L265" s="3" t="inlineStr">
        <is>
          <t>全症例の50％〜74％程度</t>
        </is>
      </c>
      <c r="M265" s="3" t="inlineStr">
        <is>
          <t>理学療法、作業療法実施前の鎮痛薬の使用</t>
        </is>
      </c>
      <c r="N265" s="3" t="inlineStr">
        <is>
          <t>全症例の25％〜49％程度</t>
        </is>
      </c>
      <c r="P265" s="3" t="inlineStr">
        <is>
          <t>全症例の25％〜49％程度</t>
        </is>
      </c>
      <c r="R265" s="3" t="inlineStr">
        <is>
          <t>全症例の0％〜24％程度</t>
        </is>
      </c>
      <c r="T265" s="3" t="inlineStr">
        <is>
          <t>実施していない</t>
        </is>
      </c>
      <c r="V265" s="3" t="inlineStr">
        <is>
          <t>実施していない</t>
        </is>
      </c>
      <c r="X265" s="3" t="inlineStr">
        <is>
          <t>実施していない</t>
        </is>
      </c>
      <c r="Z265" s="3" t="inlineStr">
        <is>
          <t>Barthel Index（BI）, FIM</t>
        </is>
      </c>
      <c r="AB265" s="3" t="inlineStr">
        <is>
          <t>MMSE, HDS-R</t>
        </is>
      </c>
      <c r="AD265" s="3" t="inlineStr">
        <is>
          <t>認知機能</t>
        </is>
      </c>
      <c r="AF265" s="3" t="inlineStr">
        <is>
          <t>決まっている</t>
        </is>
      </c>
      <c r="AG265" s="3" t="inlineStr">
        <is>
          <t>術翌日</t>
        </is>
      </c>
      <c r="AI265" s="3" t="inlineStr">
        <is>
          <t>下肢筋力強化, バランス練習, 歩行練習, 歩容改善, 起立、着座動作練習, 環境調整, 補助具、装具の適正化, 認知面への介入, 行動面への介入, 教育、指導</t>
        </is>
      </c>
    </row>
    <row r="266" ht="22.5" customHeight="1">
      <c r="A266" s="32" t="n">
        <v>46111.41423328704</v>
      </c>
      <c r="B266" s="3" t="inlineStr">
        <is>
          <t>加藤愛</t>
        </is>
      </c>
      <c r="C266" s="3" t="inlineStr">
        <is>
          <t>医療法人徳洲会　仙台徳洲会病院</t>
        </is>
      </c>
      <c r="D266" s="3" t="inlineStr">
        <is>
          <t>宮城県</t>
        </is>
      </c>
      <c r="E266" s="3" t="inlineStr">
        <is>
          <t>riha@senndai.tokushukai.or.jp</t>
        </is>
      </c>
      <c r="F266" s="3" t="inlineStr">
        <is>
          <t>リハビリテーション科／理学療法士</t>
        </is>
      </c>
      <c r="G266" s="3" t="n">
        <v>313</v>
      </c>
      <c r="H266" s="3" t="n">
        <v>15</v>
      </c>
      <c r="I266" s="3" t="n">
        <v>10.8</v>
      </c>
      <c r="J266" s="3" t="inlineStr">
        <is>
          <t>届け出をしておらず、検討もしていない</t>
        </is>
      </c>
      <c r="K266" s="3" t="inlineStr">
        <is>
          <t>関節可動域運動, 筋力増強運動, 呼吸リハビリテーション, DVT予防, リラクセーション, ポジショニング, 自主運動指導, 術後リハビリテーションのオリエンテーション</t>
        </is>
      </c>
      <c r="L266" s="3" t="inlineStr">
        <is>
          <t>全症例の75％〜100％程度</t>
        </is>
      </c>
      <c r="M266" s="3" t="inlineStr">
        <is>
          <t>パスを導入しているが、いずれのパスも術後翌日の全荷重となっていない。</t>
        </is>
      </c>
      <c r="N266" s="3" t="inlineStr">
        <is>
          <t>全症例の0％〜24％程度</t>
        </is>
      </c>
      <c r="P266" s="3" t="inlineStr">
        <is>
          <t>全症例の0％〜24％程度</t>
        </is>
      </c>
      <c r="R266" s="3" t="inlineStr">
        <is>
          <t>全症例の0％〜24％程度</t>
        </is>
      </c>
      <c r="T266" s="3" t="inlineStr">
        <is>
          <t>実施していない</t>
        </is>
      </c>
      <c r="U266" s="3" t="inlineStr">
        <is>
          <t>各評価内容は担当者に任せている。</t>
        </is>
      </c>
      <c r="V266" s="3" t="inlineStr">
        <is>
          <t>認知機能</t>
        </is>
      </c>
      <c r="X266" s="3" t="inlineStr">
        <is>
          <t>実施していない</t>
        </is>
      </c>
      <c r="Y266" s="3" t="inlineStr">
        <is>
          <t>各評価内容は担当者に任せている。</t>
        </is>
      </c>
      <c r="Z266" s="3" t="inlineStr">
        <is>
          <t>Barthel Index（BI）, FIM</t>
        </is>
      </c>
      <c r="AB266" s="3" t="inlineStr">
        <is>
          <t>HDS-R</t>
        </is>
      </c>
      <c r="AD266" s="3" t="inlineStr">
        <is>
          <t>定量的な下肢筋力測定, 認知機能</t>
        </is>
      </c>
      <c r="AF266" s="3" t="inlineStr">
        <is>
          <t>決まっている</t>
        </is>
      </c>
      <c r="AG266" s="3" t="inlineStr">
        <is>
          <t>リハビリ介入日か翌日</t>
        </is>
      </c>
      <c r="AI266" s="3" t="inlineStr">
        <is>
          <t>下肢筋力強化, バランス練習, 歩行練習, 歩容改善, 起立、着座動作練習, 環境調整, 補助具、装具の適正化, 教育、指導</t>
        </is>
      </c>
    </row>
    <row r="267" ht="22.5" customHeight="1">
      <c r="A267" s="32" t="n">
        <v>46111.43892118055</v>
      </c>
      <c r="B267" s="3" t="inlineStr">
        <is>
          <t>大中　将</t>
        </is>
      </c>
      <c r="C267" s="3" t="inlineStr">
        <is>
          <t>済生会松山病院</t>
        </is>
      </c>
      <c r="D267" s="3" t="inlineStr">
        <is>
          <t>愛媛県</t>
        </is>
      </c>
      <c r="E267" s="3" t="inlineStr">
        <is>
          <t>jimu@matsuyama.saiseikai.or.jp</t>
        </is>
      </c>
      <c r="G267" s="3" t="n">
        <v>194</v>
      </c>
      <c r="H267" s="3" t="n">
        <v>17</v>
      </c>
      <c r="I267" s="3" t="n">
        <v>0</v>
      </c>
      <c r="J267" s="3" t="inlineStr">
        <is>
          <t>届け出はしていないが、現在検討中である</t>
        </is>
      </c>
      <c r="K267" s="3" t="inlineStr">
        <is>
          <t>関節可動域運動, 筋力増強運動, 呼吸リハビリテーション, DVT予防, ポジショニング, 自主運動指導, 術後リハビリテーションのオリエンテーション, 離床（例：車椅子移乗,立位,歩行など）</t>
        </is>
      </c>
      <c r="L267" s="3" t="inlineStr">
        <is>
          <t>全症例の75％〜100％程度</t>
        </is>
      </c>
      <c r="M267" s="3" t="inlineStr">
        <is>
          <t>土日を含めたリハビリ、全介助でも車いすへ移乗する、術前から早期介入など</t>
        </is>
      </c>
      <c r="N267" s="3" t="inlineStr">
        <is>
          <t>全症例の0％〜24％程度</t>
        </is>
      </c>
      <c r="P267" s="3" t="inlineStr">
        <is>
          <t>全症例の0％〜24％程度</t>
        </is>
      </c>
      <c r="R267" s="3" t="inlineStr">
        <is>
          <t>全症例の0％〜24％程度</t>
        </is>
      </c>
      <c r="T267" s="3" t="inlineStr">
        <is>
          <t>握力, 膝伸展筋力, 5回椅子立ち上がりテスト, SPPB, 下腿周径</t>
        </is>
      </c>
      <c r="V267" s="3" t="inlineStr">
        <is>
          <t>実施していない</t>
        </is>
      </c>
      <c r="W267" s="3" t="inlineStr">
        <is>
          <t>身体機能的にフレイル評価を出来る患者が少ないため</t>
        </is>
      </c>
      <c r="X267" s="3" t="inlineStr">
        <is>
          <t>実施していない</t>
        </is>
      </c>
      <c r="Y267" s="3" t="inlineStr">
        <is>
          <t>身体機能的にロコモ評価を出来る患者少ないため</t>
        </is>
      </c>
      <c r="Z267" s="3" t="inlineStr">
        <is>
          <t>Barthel Index（BI）, FIM</t>
        </is>
      </c>
      <c r="AB267" s="3" t="inlineStr">
        <is>
          <t>MMSE, HDS-R</t>
        </is>
      </c>
      <c r="AD267" s="3" t="inlineStr">
        <is>
          <t>TUG, 10m歩行速度, Berg Balance Scale（BBS）, SPPB、Functional Reach Test（FRT）, 5回椅子立ち上がりテスト, 深部感覚評価, 過去の転倒歴, 既往疾患の有無（脳血管疾患、パーキンソン病など）, ベッド周囲および病室環境</t>
        </is>
      </c>
      <c r="AF267" s="3" t="inlineStr">
        <is>
          <t>決まっている</t>
        </is>
      </c>
      <c r="AG267" s="3" t="inlineStr">
        <is>
          <t>初回介入時及び介入前カルテチェック時</t>
        </is>
      </c>
      <c r="AI267" s="3" t="inlineStr">
        <is>
          <t>下肢筋力強化, バランス練習, 歩行練習, 歩容改善, 起立、着座動作練習, 環境調整, 補助具、装具の適正化, 認知面への介入, 教育、指導</t>
        </is>
      </c>
    </row>
    <row r="268" ht="22.5" customHeight="1">
      <c r="A268" s="32" t="n">
        <v>46111.60810898148</v>
      </c>
      <c r="B268" s="3" t="inlineStr">
        <is>
          <t>沓掛壮司</t>
        </is>
      </c>
      <c r="C268" s="3" t="inlineStr">
        <is>
          <t>特定医療法人丸山会丸子中央病院</t>
        </is>
      </c>
      <c r="D268" s="3" t="inlineStr">
        <is>
          <t>長野県</t>
        </is>
      </c>
      <c r="E268" s="3" t="inlineStr">
        <is>
          <t>souji19880111@yahoo.co.jp</t>
        </is>
      </c>
      <c r="F268" s="3" t="inlineStr">
        <is>
          <t>医療リハビリテーション科／理学療法士</t>
        </is>
      </c>
      <c r="G268" s="3" t="n">
        <v>72</v>
      </c>
      <c r="H268" s="3" t="n">
        <v>5</v>
      </c>
      <c r="I268" s="3" t="n">
        <v>1</v>
      </c>
      <c r="J268" s="3" t="inlineStr">
        <is>
          <t>現在、算定している</t>
        </is>
      </c>
      <c r="K268" s="3" t="inlineStr">
        <is>
          <t>関節可動域運動, 筋力増強運動, 呼吸リハビリテーション, DVT予防, リラクセーション, ポジショニング, 自主運動指導, 術後リハビリテーションのオリエンテーション, 離床（例：車椅子移乗,立位,歩行など）</t>
        </is>
      </c>
      <c r="L268" s="3" t="inlineStr">
        <is>
          <t>全症例の0％〜24％程度</t>
        </is>
      </c>
      <c r="N268" s="3" t="inlineStr">
        <is>
          <t>全症例の0％〜24％程度</t>
        </is>
      </c>
      <c r="P268" s="3" t="inlineStr">
        <is>
          <t>全症例の0％〜24％程度</t>
        </is>
      </c>
      <c r="R268" s="3" t="inlineStr">
        <is>
          <t>全症例の0％〜24％程度</t>
        </is>
      </c>
      <c r="T268" s="3" t="inlineStr">
        <is>
          <t>握力, 5回椅子立ち上がりテスト, 歩行速度, SPPB</t>
        </is>
      </c>
      <c r="V268" s="3" t="inlineStr">
        <is>
          <t>J-CHS基準, 認知機能, 握力</t>
        </is>
      </c>
      <c r="X268" s="3" t="inlineStr">
        <is>
          <t>立ち上がりテスト</t>
        </is>
      </c>
      <c r="Z268" s="3" t="inlineStr">
        <is>
          <t>Barthel Index（BI）</t>
        </is>
      </c>
      <c r="AB268" s="3" t="inlineStr">
        <is>
          <t>MMSE, HDS-R, MoCA</t>
        </is>
      </c>
      <c r="AD268" s="3" t="inlineStr">
        <is>
          <t>SPPB、Functional Reach Test（FRT）, 5回椅子立ち上がりテスト</t>
        </is>
      </c>
      <c r="AF268" s="3" t="inlineStr">
        <is>
          <t>決まっている</t>
        </is>
      </c>
      <c r="AG268" s="3" t="inlineStr">
        <is>
          <t>術後14日目</t>
        </is>
      </c>
      <c r="AI268" s="3" t="inlineStr">
        <is>
          <t>下肢筋力強化, バランス練習, 歩行練習, 歩容改善, 起立、着座動作練習, 環境調整, 補助具、装具の適正化, 認知面への介入, 行動面への介入, 薬剤調整, 教育、指導</t>
        </is>
      </c>
    </row>
    <row r="269" ht="22.5" customHeight="1">
      <c r="A269" s="32" t="n">
        <v>46111.69508582176</v>
      </c>
      <c r="B269" s="3" t="inlineStr">
        <is>
          <t>田中　翔</t>
        </is>
      </c>
      <c r="C269" s="3" t="inlineStr">
        <is>
          <t>独立行政法人地域医療機能推進機構北海道病院</t>
        </is>
      </c>
      <c r="D269" s="3" t="inlineStr">
        <is>
          <t>北海道</t>
        </is>
      </c>
      <c r="E269" s="3" t="inlineStr">
        <is>
          <t>tanaka-shou@hokkaido.jcho.go.jp</t>
        </is>
      </c>
      <c r="F269" s="3" t="inlineStr">
        <is>
          <t>リハビリテーション部／理学療法士</t>
        </is>
      </c>
      <c r="G269" s="3" t="n">
        <v>79</v>
      </c>
      <c r="H269" s="3" t="n">
        <v>6</v>
      </c>
      <c r="I269" s="3" t="n">
        <v>5</v>
      </c>
      <c r="J269" s="3" t="inlineStr">
        <is>
          <t>届け出はしていないが、現在検討中である</t>
        </is>
      </c>
      <c r="K269" s="3" t="inlineStr">
        <is>
          <t>関節可動域運動, 筋力増強運動, DVT予防, リラクセーション, ポジショニング, 自主運動指導, 術後リハビリテーションのオリエンテーション</t>
        </is>
      </c>
      <c r="L269" s="3" t="inlineStr">
        <is>
          <t>全症例の75％〜100％程度</t>
        </is>
      </c>
      <c r="M269" s="3" t="inlineStr">
        <is>
          <t>薬物療法との併用</t>
        </is>
      </c>
      <c r="N269" s="3" t="inlineStr">
        <is>
          <t>全症例の0％〜24％程度</t>
        </is>
      </c>
      <c r="P269" s="3" t="inlineStr">
        <is>
          <t>全症例の0％〜24％程度</t>
        </is>
      </c>
      <c r="R269" s="3" t="inlineStr">
        <is>
          <t>全症例の0％〜24％程度</t>
        </is>
      </c>
      <c r="T269" s="3" t="inlineStr">
        <is>
          <t>実施していない</t>
        </is>
      </c>
      <c r="U269" s="3" t="inlineStr">
        <is>
          <t>急性期で実施できる項目が少ない、マンパワー不足</t>
        </is>
      </c>
      <c r="V269" s="3" t="inlineStr">
        <is>
          <t>認知機能</t>
        </is>
      </c>
      <c r="X269" s="3" t="inlineStr">
        <is>
          <t>実施していない</t>
        </is>
      </c>
      <c r="Y269" s="3" t="inlineStr">
        <is>
          <t>急性期で実施できる項目が少ない、マンパワー不足</t>
        </is>
      </c>
      <c r="Z269" s="3" t="inlineStr">
        <is>
          <t>Barthel Index（BI）</t>
        </is>
      </c>
      <c r="AB269" s="3" t="inlineStr">
        <is>
          <t>MMSE, HDS-R, MoCA</t>
        </is>
      </c>
      <c r="AD269" s="3" t="inlineStr">
        <is>
          <t>実施していない</t>
        </is>
      </c>
      <c r="AE269" s="3" t="inlineStr">
        <is>
          <t>施設内でのルールとしては設けられていない</t>
        </is>
      </c>
      <c r="AI269" s="3" t="inlineStr">
        <is>
          <t>下肢筋力強化, バランス練習, 歩行練習, 歩容改善, 起立、着座動作練習, 環境調整, 補助具、装具の適正化, 認知面への介入, 行動面への介入, 薬剤調整, 教育、指導</t>
        </is>
      </c>
    </row>
    <row r="270" ht="22.5" customHeight="1">
      <c r="A270" s="32" t="n">
        <v>46111.72020903935</v>
      </c>
      <c r="B270" s="3" t="inlineStr">
        <is>
          <t>有馬拓己</t>
        </is>
      </c>
      <c r="C270" s="3" t="inlineStr">
        <is>
          <t>医療法人八女発心会姫野病院</t>
        </is>
      </c>
      <c r="D270" s="3" t="inlineStr">
        <is>
          <t>福岡県</t>
        </is>
      </c>
      <c r="E270" s="3" t="inlineStr">
        <is>
          <t>ta931212@gmail.com</t>
        </is>
      </c>
      <c r="F270" s="3" t="inlineStr">
        <is>
          <t>リハビリテーション部T6病棟／作業療法士</t>
        </is>
      </c>
      <c r="G270" s="3" t="n">
        <v>184</v>
      </c>
      <c r="H270" s="3" t="n">
        <v>22</v>
      </c>
      <c r="I270" s="3" t="n">
        <v>12</v>
      </c>
      <c r="J270" s="3" t="inlineStr">
        <is>
          <t>現在、算定している</t>
        </is>
      </c>
      <c r="K270" s="3" t="inlineStr">
        <is>
          <t>関節可動域運動, ポジショニング</t>
        </is>
      </c>
      <c r="L270" s="3" t="inlineStr">
        <is>
          <t>全症例の50％〜74％程度</t>
        </is>
      </c>
      <c r="M270" s="3" t="inlineStr">
        <is>
          <t>疼痛管理、筋力強化</t>
        </is>
      </c>
      <c r="N270" s="3" t="inlineStr">
        <is>
          <t>全症例の0％〜24％程度</t>
        </is>
      </c>
      <c r="P270" s="3" t="inlineStr">
        <is>
          <t>全症例の0％〜24％程度</t>
        </is>
      </c>
      <c r="R270" s="3" t="inlineStr">
        <is>
          <t>全症例の0％〜24％程度</t>
        </is>
      </c>
      <c r="T270" s="3" t="inlineStr">
        <is>
          <t>下腿周径</t>
        </is>
      </c>
      <c r="V270" s="3" t="inlineStr">
        <is>
          <t>実施していない</t>
        </is>
      </c>
      <c r="X270" s="3" t="inlineStr">
        <is>
          <t>実施していない</t>
        </is>
      </c>
      <c r="Z270" s="3" t="inlineStr">
        <is>
          <t>Barthel Index（BI）</t>
        </is>
      </c>
      <c r="AB270" s="3" t="inlineStr">
        <is>
          <t>MMSE, HDS-R, AMTS</t>
        </is>
      </c>
      <c r="AD270" s="3" t="inlineStr">
        <is>
          <t>認知機能, せん妄, 転倒恐怖感, 過去の転倒歴, 既往疾患の有無（脳血管疾患、パーキンソン病など）, ベッド周囲および病室環境</t>
        </is>
      </c>
      <c r="AF270" s="3" t="inlineStr">
        <is>
          <t>決まっていない</t>
        </is>
      </c>
      <c r="AI270" s="3" t="inlineStr">
        <is>
          <t>下肢筋力強化, バランス練習, 歩行練習, 歩容改善, 起立、着座動作練習, 環境調整, 補助具、装具の適正化, 認知面への介入, 行動面への介入, 教育、指導</t>
        </is>
      </c>
    </row>
    <row r="271" ht="22.5" customHeight="1">
      <c r="A271" s="32" t="n">
        <v>46111.72753918981</v>
      </c>
      <c r="B271" s="3" t="inlineStr">
        <is>
          <t>山川亮</t>
        </is>
      </c>
      <c r="C271" s="3" t="inlineStr">
        <is>
          <t>新須磨病院</t>
        </is>
      </c>
      <c r="D271" s="3" t="inlineStr">
        <is>
          <t>兵庫県</t>
        </is>
      </c>
      <c r="E271" s="3" t="inlineStr">
        <is>
          <t>s-rehabili@jikeikai-group.or.jp</t>
        </is>
      </c>
      <c r="F271" s="3" t="inlineStr">
        <is>
          <t>リハビリテーション科／理学療法士</t>
        </is>
      </c>
      <c r="G271" s="3" t="n">
        <v>84</v>
      </c>
      <c r="H271" s="3" t="n">
        <v>9</v>
      </c>
      <c r="I271" s="3" t="n">
        <v>3</v>
      </c>
      <c r="J271" s="3" t="inlineStr">
        <is>
          <t>届け出をしておらず、検討もしていない</t>
        </is>
      </c>
      <c r="K271" s="3" t="inlineStr">
        <is>
          <t>筋力増強運動, ポジショニング, 術後リハビリテーションのオリエンテーション</t>
        </is>
      </c>
      <c r="L271" s="3" t="inlineStr">
        <is>
          <t>全症例の25％〜49％程度</t>
        </is>
      </c>
      <c r="N271" s="3" t="inlineStr">
        <is>
          <t>全症例の0％〜24％程度</t>
        </is>
      </c>
      <c r="P271" s="3" t="inlineStr">
        <is>
          <t>全症例の0％〜24％程度</t>
        </is>
      </c>
      <c r="R271" s="3" t="inlineStr">
        <is>
          <t>全症例の0％〜24％程度</t>
        </is>
      </c>
      <c r="T271" s="3" t="inlineStr">
        <is>
          <t>歩行速度, SPPB, TUG, 6分間歩行距離, 開眼片脚立位時間</t>
        </is>
      </c>
      <c r="V271" s="3" t="inlineStr">
        <is>
          <t>TUG, 6分間歩行距離, 認知機能</t>
        </is>
      </c>
      <c r="X271" s="3" t="inlineStr">
        <is>
          <t>実施していない</t>
        </is>
      </c>
      <c r="Y271" s="3" t="inlineStr">
        <is>
          <t>通常PT・OTが行う、より具体的な機能評価に重点を置いている</t>
        </is>
      </c>
      <c r="Z271" s="3" t="inlineStr">
        <is>
          <t>Barthel Index（BI）, FIM</t>
        </is>
      </c>
      <c r="AB271" s="3" t="inlineStr">
        <is>
          <t>MMSE, HDS-R</t>
        </is>
      </c>
      <c r="AD271" s="3" t="inlineStr">
        <is>
          <t>TUG, 10m歩行速度, Berg Balance Scale（BBS）, SPPB、Functional Reach Test（FRT）</t>
        </is>
      </c>
      <c r="AF271" s="3" t="inlineStr">
        <is>
          <t>決まっていない</t>
        </is>
      </c>
      <c r="AH271" s="3" t="inlineStr">
        <is>
          <t>制度を理解しているものがいない</t>
        </is>
      </c>
      <c r="AI271" s="3" t="inlineStr">
        <is>
          <t>バランス練習, 歩行練習, 環境調整, 補助具、装具の適正化, 認知面への介入</t>
        </is>
      </c>
    </row>
    <row r="272" ht="22.5" customHeight="1">
      <c r="A272" s="32" t="n">
        <v>46111.74143547453</v>
      </c>
      <c r="B272" s="3" t="inlineStr">
        <is>
          <t>中山　真吾</t>
        </is>
      </c>
      <c r="C272" s="3" t="inlineStr">
        <is>
          <t>平塚市民病院</t>
        </is>
      </c>
      <c r="D272" s="3" t="inlineStr">
        <is>
          <t>神奈川県</t>
        </is>
      </c>
      <c r="E272" s="3" t="inlineStr">
        <is>
          <t>hurehira0410@gmail.com</t>
        </is>
      </c>
      <c r="F272" s="3" t="inlineStr">
        <is>
          <t>リハビリテーション技術科/理学療法士</t>
        </is>
      </c>
      <c r="G272" s="3" t="n">
        <v>311</v>
      </c>
      <c r="H272" s="3" t="n">
        <v>9</v>
      </c>
      <c r="I272" s="3" t="n">
        <v>0</v>
      </c>
      <c r="J272" s="3" t="inlineStr">
        <is>
          <t>届け出をしておらず、検討もしていない</t>
        </is>
      </c>
      <c r="K272" s="3" t="inlineStr">
        <is>
          <t>関節可動域運動, 筋力増強運動, DVT予防, 術後リハビリテーションのオリエンテーション</t>
        </is>
      </c>
      <c r="L272" s="3" t="inlineStr">
        <is>
          <t>全症例の0％〜24％程度</t>
        </is>
      </c>
      <c r="N272" s="3" t="inlineStr">
        <is>
          <t>全症例の0％〜24％程度</t>
        </is>
      </c>
      <c r="P272" s="3" t="inlineStr">
        <is>
          <t>全症例の25％〜49％程度</t>
        </is>
      </c>
      <c r="R272" s="3" t="inlineStr">
        <is>
          <t>全症例の0％〜24％程度</t>
        </is>
      </c>
      <c r="T272" s="3" t="inlineStr">
        <is>
          <t>握力, 歩行速度, SPPB, TUG, 開眼片脚立位時間, 下腿周径</t>
        </is>
      </c>
      <c r="V272" s="3" t="inlineStr">
        <is>
          <t>TUG, 握力</t>
        </is>
      </c>
      <c r="X272" s="3" t="inlineStr">
        <is>
          <t>立ち上がりテスト</t>
        </is>
      </c>
      <c r="Z272" s="3" t="inlineStr">
        <is>
          <t>Barthel Index（BI）</t>
        </is>
      </c>
      <c r="AB272" s="3" t="inlineStr">
        <is>
          <t>AMTS</t>
        </is>
      </c>
      <c r="AD272" s="3" t="inlineStr">
        <is>
          <t>実施していない</t>
        </is>
      </c>
      <c r="AE272" s="3" t="inlineStr">
        <is>
          <t>施設では個人の個人の判断でSPPBやBBSなどを行っている</t>
        </is>
      </c>
      <c r="AI272" s="3" t="inlineStr">
        <is>
          <t>下肢筋力強化, バランス練習, 歩行練習, 歩容改善, 起立、着座動作練習, 環境調整, 補助具、装具の適正化</t>
        </is>
      </c>
    </row>
    <row r="273" ht="22.5" customHeight="1">
      <c r="A273" s="32" t="n">
        <v>46111.76347726852</v>
      </c>
      <c r="B273" s="3" t="inlineStr">
        <is>
          <t>松原　靖子</t>
        </is>
      </c>
      <c r="C273" s="3" t="inlineStr">
        <is>
          <t>八戸赤十字病院</t>
        </is>
      </c>
      <c r="D273" s="3" t="inlineStr">
        <is>
          <t>青森県</t>
        </is>
      </c>
      <c r="E273" s="3" t="inlineStr">
        <is>
          <t>760co001@hachinohe.jrc.or.jp</t>
        </is>
      </c>
      <c r="F273" s="3" t="inlineStr">
        <is>
          <t>リハビリテーション科／理学療法士</t>
        </is>
      </c>
      <c r="G273" s="3" t="n">
        <v>171</v>
      </c>
      <c r="H273" s="3" t="n">
        <v>9</v>
      </c>
      <c r="I273" s="3" t="n">
        <v>1</v>
      </c>
      <c r="J273" s="3" t="inlineStr">
        <is>
          <t>届け出をしておらず、検討もしていない</t>
        </is>
      </c>
      <c r="K273" s="3" t="inlineStr">
        <is>
          <t>筋力増強運動, 呼吸リハビリテーション, DVT予防, ポジショニング, 自主運動指導, 術後リハビリテーションのオリエンテーション</t>
        </is>
      </c>
      <c r="L273" s="3" t="inlineStr">
        <is>
          <t>全症例の25％〜49％程度</t>
        </is>
      </c>
      <c r="N273" s="3" t="inlineStr">
        <is>
          <t>全症例の0％〜24％程度</t>
        </is>
      </c>
      <c r="P273" s="3" t="inlineStr">
        <is>
          <t>全症例の0％〜24％程度</t>
        </is>
      </c>
      <c r="R273" s="3" t="inlineStr">
        <is>
          <t>全症例の0％〜24％程度</t>
        </is>
      </c>
      <c r="T273" s="3" t="inlineStr">
        <is>
          <t>握力, 膝伸展筋力</t>
        </is>
      </c>
      <c r="V273" s="3" t="inlineStr">
        <is>
          <t>認知機能, 抑うつや意欲低下, 握力</t>
        </is>
      </c>
      <c r="X273" s="3" t="inlineStr">
        <is>
          <t>実施していない</t>
        </is>
      </c>
      <c r="Y273" s="3" t="inlineStr">
        <is>
          <t>上記評価項目を実施できる対象患者が殆どいない、受傷入院時点でロコモ25は必要な評価項目なのかわからない</t>
        </is>
      </c>
      <c r="Z273" s="3" t="inlineStr">
        <is>
          <t>Barthel Index（BI）</t>
        </is>
      </c>
      <c r="AB273" s="3" t="inlineStr">
        <is>
          <t>MMSE, HDS-R, AMTS</t>
        </is>
      </c>
      <c r="AD273" s="3" t="inlineStr">
        <is>
          <t>定量的な下肢筋力測定, 開眼片脚立位時間, 深部感覚評価, 認知機能, 注意障害, 遂行機能, せん妄, 転倒恐怖感, 過去の転倒歴, 既往疾患の有無（脳血管疾患、パーキンソン病など）, 薬剤（向精神薬、降圧薬、利尿薬、ポリファーマシーなど）, ベッド周囲および病室環境</t>
        </is>
      </c>
      <c r="AF273" s="3" t="inlineStr">
        <is>
          <t>決まっていない</t>
        </is>
      </c>
      <c r="AH273" s="3" t="inlineStr">
        <is>
          <t>初期評価に加え、患者の状態に合わせて、必要時評価している</t>
        </is>
      </c>
      <c r="AI273" s="3" t="inlineStr">
        <is>
          <t>下肢筋力強化, バランス練習, 歩行練習, 歩容改善, 起立、着座動作練習, 環境調整, 補助具、装具の適正化, 認知面への介入, 薬剤調整, 教育、指導</t>
        </is>
      </c>
    </row>
    <row r="274" ht="22.5" customHeight="1">
      <c r="A274" s="32" t="n">
        <v>46111.79301571759</v>
      </c>
      <c r="B274" s="3" t="inlineStr">
        <is>
          <t>藤田　直也</t>
        </is>
      </c>
      <c r="C274" s="3" t="inlineStr">
        <is>
          <t>岡山旭東病院</t>
        </is>
      </c>
      <c r="D274" s="3" t="inlineStr">
        <is>
          <t>岡山県</t>
        </is>
      </c>
      <c r="E274" s="3" t="inlineStr">
        <is>
          <t>rpt@kyokuto.or.jp</t>
        </is>
      </c>
      <c r="F274" s="3" t="inlineStr">
        <is>
          <t>リハビリテーション課／理学療法士</t>
        </is>
      </c>
      <c r="G274" s="3" t="n">
        <v>251</v>
      </c>
      <c r="H274" s="3" t="n">
        <v>17</v>
      </c>
      <c r="I274" s="3" t="n">
        <v>8</v>
      </c>
      <c r="J274" s="3" t="inlineStr">
        <is>
          <t>現在、算定している</t>
        </is>
      </c>
      <c r="K274" s="3" t="inlineStr">
        <is>
          <t>関節可動域運動, 筋力増強運動, 呼吸リハビリテーション, DVT予防, リラクセーション, ポジショニング, 自主運動指導, 術後リハビリテーションのオリエンテーション, 離床（例：車椅子移乗,立位,歩行など）, 認知機能検査</t>
        </is>
      </c>
      <c r="L274" s="3" t="inlineStr">
        <is>
          <t>全症例の0％〜24％程度</t>
        </is>
      </c>
      <c r="N274" s="3" t="inlineStr">
        <is>
          <t>全症例の0％〜24％程度</t>
        </is>
      </c>
      <c r="P274" s="3" t="inlineStr">
        <is>
          <t>全症例の0％〜24％程度</t>
        </is>
      </c>
      <c r="R274" s="3" t="inlineStr">
        <is>
          <t>全症例の0％〜24％程度</t>
        </is>
      </c>
      <c r="T274" s="3" t="inlineStr">
        <is>
          <t>握力, 膝伸展筋力, 歩行速度, TUG, 6分間歩行距離</t>
        </is>
      </c>
      <c r="V274" s="3" t="inlineStr">
        <is>
          <t>TUG, 6分間歩行距離, 認知機能, 握力</t>
        </is>
      </c>
      <c r="X274" s="3" t="inlineStr">
        <is>
          <t>立ち上がりテスト</t>
        </is>
      </c>
      <c r="Z274" s="3" t="inlineStr">
        <is>
          <t>Barthel Index（BI）, FIM</t>
        </is>
      </c>
      <c r="AB274" s="3" t="inlineStr">
        <is>
          <t>MMSE, HDS-R, AMTS</t>
        </is>
      </c>
      <c r="AD274" s="3" t="inlineStr">
        <is>
          <t>定量的な下肢筋力測定, 開眼片脚立位時間, TUG, 10m歩行速度, Berg Balance Scale（BBS）, 深部感覚評価, 認知機能, 注意障害, 遂行機能, せん妄, 過去の転倒歴, 既往疾患の有無（脳血管疾患、パーキンソン病など）, 薬剤（向精神薬、降圧薬、利尿薬、ポリファーマシーなど）, ベッド周囲および病室環境</t>
        </is>
      </c>
      <c r="AF274" s="3" t="inlineStr">
        <is>
          <t>決まっていない</t>
        </is>
      </c>
      <c r="AH274" s="3" t="inlineStr">
        <is>
          <t>術前や入院日など、活動度評価は行っていますが、術前の何日前までかは決まっていません。また術後も自立できそうな人に評価を行うので、決まった日には評価しておりません。</t>
        </is>
      </c>
      <c r="AI274" s="3" t="inlineStr">
        <is>
          <t>下肢筋力強化, バランス練習, 歩行練習, 歩容改善, 起立、着座動作練習, 環境調整, 補助具、装具の適正化, 認知面への介入, 行動面への介入, 教育、指導</t>
        </is>
      </c>
    </row>
    <row r="275" ht="22.5" customHeight="1">
      <c r="A275" s="32" t="n">
        <v>46111.79647622685</v>
      </c>
      <c r="B275" s="3" t="inlineStr">
        <is>
          <t>畠　昌史</t>
        </is>
      </c>
      <c r="C275" s="3" t="inlineStr">
        <is>
          <t>厚生連高岡病院</t>
        </is>
      </c>
      <c r="D275" s="3" t="inlineStr">
        <is>
          <t>富山県</t>
        </is>
      </c>
      <c r="E275" s="3" t="inlineStr">
        <is>
          <t>hata03392@kouseiren-ta.or.jp</t>
        </is>
      </c>
      <c r="F275" s="3" t="inlineStr">
        <is>
          <t>リハビリテーション部／理学療法士</t>
        </is>
      </c>
      <c r="G275" s="3" t="n">
        <v>162</v>
      </c>
      <c r="H275" s="3" t="n">
        <v>7</v>
      </c>
      <c r="I275" s="3" t="n">
        <v>5</v>
      </c>
      <c r="J275" s="3" t="inlineStr">
        <is>
          <t>届け出をしておらず、検討もしていない</t>
        </is>
      </c>
      <c r="K275" s="3" t="inlineStr">
        <is>
          <t>関節可動域運動, 筋力増強運動, 自主運動指導, 術後リハビリテーションのオリエンテーション</t>
        </is>
      </c>
      <c r="L275" s="3" t="inlineStr">
        <is>
          <t>全症例の25％〜49％程度</t>
        </is>
      </c>
      <c r="N275" s="3" t="inlineStr">
        <is>
          <t>全症例の0％〜24％程度</t>
        </is>
      </c>
      <c r="P275" s="3" t="inlineStr">
        <is>
          <t>全症例の25％〜49％程度</t>
        </is>
      </c>
      <c r="R275" s="3" t="inlineStr">
        <is>
          <t>全症例の0％〜24％程度</t>
        </is>
      </c>
      <c r="T275" s="3" t="inlineStr">
        <is>
          <t>実施していない</t>
        </is>
      </c>
      <c r="U275" s="3" t="inlineStr">
        <is>
          <t>サルコペニアの評価として、実施していない</t>
        </is>
      </c>
      <c r="V275" s="3" t="inlineStr">
        <is>
          <t>実施していない</t>
        </is>
      </c>
      <c r="X275" s="3" t="inlineStr">
        <is>
          <t>実施していない</t>
        </is>
      </c>
      <c r="Y275" s="3" t="inlineStr">
        <is>
          <t>現状、必要性を感じていない</t>
        </is>
      </c>
      <c r="Z275" s="3" t="inlineStr">
        <is>
          <t>FIM</t>
        </is>
      </c>
      <c r="AB275" s="3" t="inlineStr">
        <is>
          <t>HDS-R</t>
        </is>
      </c>
      <c r="AD275" s="3" t="inlineStr">
        <is>
          <t>TUG, 10m歩行速度</t>
        </is>
      </c>
      <c r="AF275" s="3" t="inlineStr">
        <is>
          <t>決まっていない</t>
        </is>
      </c>
      <c r="AH275" s="3" t="inlineStr">
        <is>
          <t>まだ体系化されてない</t>
        </is>
      </c>
      <c r="AI275" s="3" t="inlineStr">
        <is>
          <t>下肢筋力強化, バランス練習, 歩行練習, 起立、着座動作練習, 環境調整, 補助具、装具の適正化, 教育、指導</t>
        </is>
      </c>
    </row>
    <row r="276" ht="22.5" customHeight="1">
      <c r="A276" s="32" t="n">
        <v>46112.37286003472</v>
      </c>
      <c r="B276" s="3" t="inlineStr">
        <is>
          <t>比地岡　亮介</t>
        </is>
      </c>
      <c r="C276" s="3" t="inlineStr">
        <is>
          <t>平塚共済病院</t>
        </is>
      </c>
      <c r="D276" s="3" t="inlineStr">
        <is>
          <t>神奈川県</t>
        </is>
      </c>
      <c r="E276" s="3" t="inlineStr">
        <is>
          <t>hijioka-r@kkr.hiratsuka.kanagawa.jp</t>
        </is>
      </c>
      <c r="F276" s="3" t="inlineStr">
        <is>
          <t>リハビリテーション科　理学療法士</t>
        </is>
      </c>
      <c r="G276" s="3" t="n">
        <v>120</v>
      </c>
      <c r="H276" s="3" t="n">
        <v>10</v>
      </c>
      <c r="I276" s="3" t="n">
        <v>0</v>
      </c>
      <c r="J276" s="3" t="inlineStr">
        <is>
          <t>届け出をしておらず、検討もしていない</t>
        </is>
      </c>
      <c r="K276" s="3" t="inlineStr">
        <is>
          <t>自主運動指導</t>
        </is>
      </c>
      <c r="L276" s="3" t="inlineStr">
        <is>
          <t>全症例の0％〜24％程度</t>
        </is>
      </c>
      <c r="N276" s="3" t="inlineStr">
        <is>
          <t>全症例の25％〜49％程度</t>
        </is>
      </c>
      <c r="P276" s="3" t="inlineStr">
        <is>
          <t>全症例の0％〜24％程度</t>
        </is>
      </c>
      <c r="R276" s="3" t="inlineStr">
        <is>
          <t>全症例の0％〜24％程度</t>
        </is>
      </c>
      <c r="T276" s="3" t="inlineStr">
        <is>
          <t>膝伸展筋力, 歩行速度</t>
        </is>
      </c>
      <c r="V276" s="3" t="inlineStr">
        <is>
          <t>TUG</t>
        </is>
      </c>
      <c r="X276" s="3" t="inlineStr">
        <is>
          <t>実施していない</t>
        </is>
      </c>
      <c r="Z276" s="3" t="inlineStr">
        <is>
          <t>FIM</t>
        </is>
      </c>
      <c r="AB276" s="3" t="inlineStr">
        <is>
          <t>MMSE, HDS-R</t>
        </is>
      </c>
      <c r="AD276" s="3" t="inlineStr">
        <is>
          <t>開眼片脚立位時間, 認知機能, ベッド周囲および病室環境</t>
        </is>
      </c>
      <c r="AF276" s="3" t="inlineStr">
        <is>
          <t>決まっていない</t>
        </is>
      </c>
      <c r="AH276" s="3" t="inlineStr">
        <is>
          <t>科内で統一できていない</t>
        </is>
      </c>
      <c r="AI276" s="3" t="inlineStr">
        <is>
          <t>下肢筋力強化, バランス練習, 歩行練習, 環境調整, 補助具、装具の適正化</t>
        </is>
      </c>
    </row>
    <row r="277" ht="22.5" customHeight="1">
      <c r="A277" s="32" t="n">
        <v>46112.37985741898</v>
      </c>
      <c r="B277" s="3" t="inlineStr">
        <is>
          <t>溝口　勝己</t>
        </is>
      </c>
      <c r="C277" s="3" t="inlineStr">
        <is>
          <t>江戸川病院</t>
        </is>
      </c>
      <c r="D277" s="3" t="inlineStr">
        <is>
          <t>東京都</t>
        </is>
      </c>
      <c r="E277" s="3" t="inlineStr">
        <is>
          <t>k.mizoguti@edogawa.or.jp</t>
        </is>
      </c>
      <c r="F277" s="3" t="inlineStr">
        <is>
          <t>リハビリテーション科／理学療法士</t>
        </is>
      </c>
      <c r="G277" s="3" t="n">
        <v>280</v>
      </c>
      <c r="H277" s="3" t="n">
        <v>18</v>
      </c>
      <c r="I277" s="3" t="n">
        <v>10</v>
      </c>
      <c r="J277" s="3" t="inlineStr">
        <is>
          <t>届け出をしておらず、検討もしていない</t>
        </is>
      </c>
      <c r="K277" s="3" t="inlineStr">
        <is>
          <t>実施していない</t>
        </is>
      </c>
      <c r="L277" s="3" t="inlineStr">
        <is>
          <t>全症例の0％〜24％程度</t>
        </is>
      </c>
      <c r="N277" s="3" t="inlineStr">
        <is>
          <t>全症例の0％〜24％程度</t>
        </is>
      </c>
      <c r="P277" s="3" t="inlineStr">
        <is>
          <t>全症例の0％〜24％程度</t>
        </is>
      </c>
      <c r="R277" s="3" t="inlineStr">
        <is>
          <t>全症例の0％〜24％程度</t>
        </is>
      </c>
      <c r="T277" s="3" t="inlineStr">
        <is>
          <t>膝伸展筋力, 歩行速度, TUG, サルコペニアとしての評価は行っていない</t>
        </is>
      </c>
      <c r="V277" s="3" t="inlineStr">
        <is>
          <t>TUG, フレイルの評価としては行っていない</t>
        </is>
      </c>
      <c r="X277" s="3" t="inlineStr">
        <is>
          <t>立ち上がりテスト, 2ステップテスト, ロコモ25（質問票）</t>
        </is>
      </c>
      <c r="Z277" s="3" t="inlineStr">
        <is>
          <t>FIM</t>
        </is>
      </c>
      <c r="AB277" s="3" t="inlineStr">
        <is>
          <t>MMSE, HDS-R</t>
        </is>
      </c>
      <c r="AD277" s="3" t="inlineStr">
        <is>
          <t>TUG, 認知機能, 注意障害, 遂行機能, せん妄, 転倒恐怖感, 過去の転倒歴, 既往疾患の有無（脳血管疾患、パーキンソン病など）, 薬剤（向精神薬、降圧薬、利尿薬、ポリファーマシーなど）, ベッド周囲および病室環境</t>
        </is>
      </c>
      <c r="AF277" s="3" t="inlineStr">
        <is>
          <t>決まっていない</t>
        </is>
      </c>
      <c r="AH277" s="3" t="inlineStr">
        <is>
          <t>初回評価時、歩行の自立度拡大時に実施</t>
        </is>
      </c>
      <c r="AI277" s="3" t="inlineStr">
        <is>
          <t>下肢筋力強化, バランス練習, 歩行練習, 歩容改善, 起立、着座動作練習</t>
        </is>
      </c>
    </row>
    <row r="278" ht="22.5" customHeight="1">
      <c r="A278" s="32" t="n">
        <v>46112.41183732639</v>
      </c>
      <c r="B278" s="3" t="inlineStr">
        <is>
          <t>青島　健太</t>
        </is>
      </c>
      <c r="C278" s="3" t="inlineStr">
        <is>
          <t>島田市立総合医療センター</t>
        </is>
      </c>
      <c r="D278" s="3" t="inlineStr">
        <is>
          <t>静岡県</t>
        </is>
      </c>
      <c r="E278" s="3" t="inlineStr">
        <is>
          <t>ijika@shimada-gmc.jp</t>
        </is>
      </c>
      <c r="G278" s="3" t="n">
        <v>227</v>
      </c>
      <c r="H278" s="3" t="n">
        <v>18</v>
      </c>
      <c r="I278" s="3" t="n">
        <v>8</v>
      </c>
      <c r="J278" s="3" t="inlineStr">
        <is>
          <t>届け出をしておらず、検討もしていない</t>
        </is>
      </c>
      <c r="K278" s="3" t="inlineStr">
        <is>
          <t>関節可動域運動, 筋力増強運動, ポジショニング, 自主運動指導, 術後リハビリテーションのオリエンテーション</t>
        </is>
      </c>
      <c r="L278" s="3" t="inlineStr">
        <is>
          <t>全症例の75％〜100％程度</t>
        </is>
      </c>
      <c r="M278" s="3" t="inlineStr">
        <is>
          <t>手すりの使用、リハビリ前の痛み止めの内服、環境調整</t>
        </is>
      </c>
      <c r="N278" s="3" t="inlineStr">
        <is>
          <t>全症例の0％〜24％程度</t>
        </is>
      </c>
      <c r="P278" s="3" t="inlineStr">
        <is>
          <t>全症例の0％〜24％程度</t>
        </is>
      </c>
      <c r="R278" s="3" t="inlineStr">
        <is>
          <t>全症例の0％〜24％程度</t>
        </is>
      </c>
      <c r="T278" s="3" t="inlineStr">
        <is>
          <t>握力, 膝伸展筋力, 5回椅子立ち上がりテスト, 歩行速度, TUG, 開眼片脚立位時間, 下腿周径</t>
        </is>
      </c>
      <c r="V278" s="3" t="inlineStr">
        <is>
          <t>TUG, 認知機能, 握力</t>
        </is>
      </c>
      <c r="X278" s="3" t="inlineStr">
        <is>
          <t>立ち上がりテスト</t>
        </is>
      </c>
      <c r="Z278" s="3" t="inlineStr">
        <is>
          <t>Barthel Index（BI）, FIM</t>
        </is>
      </c>
      <c r="AB278" s="3" t="inlineStr">
        <is>
          <t>HDS-R</t>
        </is>
      </c>
      <c r="AD278" s="3" t="inlineStr">
        <is>
          <t>定量的な下肢筋力測定, 開眼片脚立位時間, TUG, 5回椅子立ち上がりテスト, 認知機能</t>
        </is>
      </c>
      <c r="AF278" s="3" t="inlineStr">
        <is>
          <t>決まっている</t>
        </is>
      </c>
      <c r="AG278" s="3" t="inlineStr">
        <is>
          <t>①退院後、外来初回時　②外来再診時</t>
        </is>
      </c>
      <c r="AI278" s="3" t="inlineStr">
        <is>
          <t>下肢筋力強化, バランス練習, 歩行練習, 歩容改善, 起立、着座動作練習, 環境調整, 補助具、装具の適正化, 認知面への介入, 行動面への介入, 教育、指導</t>
        </is>
      </c>
    </row>
    <row r="279" ht="22.5" customHeight="1">
      <c r="A279" s="32" t="n">
        <v>46112.44649122685</v>
      </c>
      <c r="B279" s="3" t="inlineStr">
        <is>
          <t>竹村柾俊</t>
        </is>
      </c>
      <c r="C279" s="3" t="inlineStr">
        <is>
          <t>四日市羽津医療センター</t>
        </is>
      </c>
      <c r="D279" s="3" t="inlineStr">
        <is>
          <t>三重県</t>
        </is>
      </c>
      <c r="E279" s="3" t="inlineStr">
        <is>
          <t>takemura-masatoshi@yokkaichi.jcho.go.jp</t>
        </is>
      </c>
      <c r="F279" s="3" t="inlineStr">
        <is>
          <t>リハビリテーション部/理学療法士</t>
        </is>
      </c>
      <c r="G279" s="3" t="n">
        <v>67</v>
      </c>
      <c r="H279" s="3" t="n">
        <v>8</v>
      </c>
      <c r="I279" s="3" t="n">
        <v>3</v>
      </c>
      <c r="J279" s="3" t="inlineStr">
        <is>
          <t>届け出をしておらず、検討もしていない</t>
        </is>
      </c>
      <c r="K279" s="3" t="inlineStr">
        <is>
          <t>関節可動域運動, 筋力増強運動, DVT予防, ポジショニング, 自主運動指導, 術後リハビリテーションのオリエンテーション, 離床（例：車椅子移乗,立位,歩行など）</t>
        </is>
      </c>
      <c r="L279" s="3" t="inlineStr">
        <is>
          <t>全症例の50％〜74％程度</t>
        </is>
      </c>
      <c r="M279" s="3" t="inlineStr">
        <is>
          <t>鎮痛薬、二人介助で行う</t>
        </is>
      </c>
      <c r="N279" s="3" t="inlineStr">
        <is>
          <t>全症例の50％〜74％程度</t>
        </is>
      </c>
      <c r="O279" s="3" t="inlineStr">
        <is>
          <t>実施するタイミングを遅らせる。鎮痛薬、二人介助で行う</t>
        </is>
      </c>
      <c r="P279" s="3" t="inlineStr">
        <is>
          <t>全症例の0％〜24％程度</t>
        </is>
      </c>
      <c r="R279" s="3" t="inlineStr">
        <is>
          <t>全症例の0％〜24％程度</t>
        </is>
      </c>
      <c r="T279" s="3" t="inlineStr">
        <is>
          <t>握力, 5回椅子立ち上がりテスト, 下腿周径, SARC-F</t>
        </is>
      </c>
      <c r="V279" s="3" t="inlineStr">
        <is>
          <t>認知機能, 握力</t>
        </is>
      </c>
      <c r="X279" s="3" t="inlineStr">
        <is>
          <t>立ち上がりテスト</t>
        </is>
      </c>
      <c r="Z279" s="3" t="inlineStr">
        <is>
          <t>FIM</t>
        </is>
      </c>
      <c r="AB279" s="3" t="inlineStr">
        <is>
          <t>MMSE, HDS-R</t>
        </is>
      </c>
      <c r="AD279" s="3" t="inlineStr">
        <is>
          <t>5回椅子立ち上がりテスト, 認知機能, 過去の転倒歴, Fall Risk Index</t>
        </is>
      </c>
      <c r="AF279" s="3" t="inlineStr">
        <is>
          <t>決まっている</t>
        </is>
      </c>
      <c r="AG279" s="3" t="inlineStr">
        <is>
          <t>術後1～2週間</t>
        </is>
      </c>
      <c r="AI279" s="3" t="inlineStr">
        <is>
          <t>下肢筋力強化, バランス練習, 歩行練習, 歩容改善, 起立、着座動作練習, 環境調整, 認知面への介入, 行動面への介入, 薬剤調整</t>
        </is>
      </c>
    </row>
    <row r="280" ht="22.5" customHeight="1">
      <c r="A280" s="32" t="n">
        <v>46112.48910451389</v>
      </c>
      <c r="B280" s="3" t="inlineStr">
        <is>
          <t>米田恭祐</t>
        </is>
      </c>
      <c r="C280" s="3" t="inlineStr">
        <is>
          <t>社会福祉法人恩賜財団済生会中和病院</t>
        </is>
      </c>
      <c r="D280" s="3" t="inlineStr">
        <is>
          <t>奈良県</t>
        </is>
      </c>
      <c r="E280" s="3" t="inlineStr">
        <is>
          <t>komekyo3@yahoo.co.jp</t>
        </is>
      </c>
      <c r="F280" s="3" t="inlineStr">
        <is>
          <t>リハビリテーション科/理学療法士</t>
        </is>
      </c>
      <c r="G280" s="3" t="n">
        <v>132</v>
      </c>
      <c r="H280" s="3" t="n">
        <v>13</v>
      </c>
      <c r="I280" s="3" t="n">
        <v>9</v>
      </c>
      <c r="J280" s="3" t="inlineStr">
        <is>
          <t>届け出をしておらず、検討もしていない</t>
        </is>
      </c>
      <c r="K280" s="3" t="inlineStr">
        <is>
          <t>関節可動域運動, 筋力増強運動, DVT予防, リラクセーション, ポジショニング, 自主運動指導, 術後リハビリテーションのオリエンテーション, 離床（例：車椅子移乗,立位,歩行など）</t>
        </is>
      </c>
      <c r="L280" s="3" t="inlineStr">
        <is>
          <t>全症例の75％〜100％程度</t>
        </is>
      </c>
      <c r="M280" s="3" t="inlineStr">
        <is>
          <t>離床前にアイシング、リラクセーションなどによるコンディショニングの実施</t>
        </is>
      </c>
      <c r="N280" s="3" t="inlineStr">
        <is>
          <t>全症例の50％〜74％程度</t>
        </is>
      </c>
      <c r="P280" s="3" t="inlineStr">
        <is>
          <t>全症例の0％〜24％程度</t>
        </is>
      </c>
      <c r="R280" s="3" t="inlineStr">
        <is>
          <t>全症例の0％〜24％程度</t>
        </is>
      </c>
      <c r="T280" s="3" t="inlineStr">
        <is>
          <t>握力, 膝伸展筋力, 5回椅子立ち上がりテスト, SPPB, TUG, 開眼片脚立位時間</t>
        </is>
      </c>
      <c r="V280" s="3" t="inlineStr">
        <is>
          <t>TUG, 握力</t>
        </is>
      </c>
      <c r="X280" s="3" t="inlineStr">
        <is>
          <t>実施していない</t>
        </is>
      </c>
      <c r="Y280" s="3" t="inlineStr">
        <is>
          <t>ロコモを調べるという観点では評価は実施していない。
評価を実施して結果ロコモに当てはまるということになる</t>
        </is>
      </c>
      <c r="Z280" s="3" t="inlineStr">
        <is>
          <t>Barthel Index（BI）, FIM</t>
        </is>
      </c>
      <c r="AB280" s="3" t="inlineStr">
        <is>
          <t>MMSE, HDS-R</t>
        </is>
      </c>
      <c r="AD280" s="3" t="inlineStr">
        <is>
          <t>開眼片脚立位時間, TUG, Berg Balance Scale（BBS）, SPPB、Functional Reach Test（FRT）, 認知機能, 過去の転倒歴, 薬剤（向精神薬、降圧薬、利尿薬、ポリファーマシーなど）</t>
        </is>
      </c>
      <c r="AF280" s="3" t="inlineStr">
        <is>
          <t>決まっていない</t>
        </is>
      </c>
      <c r="AH280" s="3" t="inlineStr">
        <is>
          <t>術後の経過により全員が同じ日数で評価を行えないため</t>
        </is>
      </c>
      <c r="AI280" s="3" t="inlineStr">
        <is>
          <t>下肢筋力強化, バランス練習, 歩行練習, 歩容改善, 起立、着座動作練習, 環境調整, 補助具、装具の適正化, 認知面への介入, 行動面への介入, 教育、指導</t>
        </is>
      </c>
    </row>
    <row r="281" ht="22.5" customHeight="1">
      <c r="A281" s="32" t="n">
        <v>46112.48946267361</v>
      </c>
      <c r="B281" s="3" t="inlineStr">
        <is>
          <t>植村周平</t>
        </is>
      </c>
      <c r="C281" s="3" t="inlineStr">
        <is>
          <t>JCHO九州病院</t>
        </is>
      </c>
      <c r="D281" s="3" t="inlineStr">
        <is>
          <t>福岡県</t>
        </is>
      </c>
      <c r="E281" s="3" t="inlineStr">
        <is>
          <t>s.uemura123@gmail.com</t>
        </is>
      </c>
      <c r="F281" s="3" t="inlineStr">
        <is>
          <t>理学療法士</t>
        </is>
      </c>
      <c r="G281" s="3" t="n">
        <v>120</v>
      </c>
      <c r="H281" s="3" t="n">
        <v>5</v>
      </c>
      <c r="I281" s="3" t="n">
        <v>6</v>
      </c>
      <c r="J281" s="3" t="inlineStr">
        <is>
          <t>届け出をしておらず、検討もしていない</t>
        </is>
      </c>
      <c r="K281" s="3" t="inlineStr">
        <is>
          <t>関節可動域運動, 筋力増強運動, 呼吸リハビリテーション, DVT予防, ポジショニング, 自主運動指導, 術後リハビリテーションのオリエンテーション</t>
        </is>
      </c>
      <c r="L281" s="3" t="inlineStr">
        <is>
          <t>全症例の75％〜100％程度</t>
        </is>
      </c>
      <c r="M281" s="3" t="inlineStr">
        <is>
          <t>リハ前に鎮痛剤の使用</t>
        </is>
      </c>
      <c r="N281" s="3" t="inlineStr">
        <is>
          <t>全症例の0％〜24％程度</t>
        </is>
      </c>
      <c r="P281" s="3" t="inlineStr">
        <is>
          <t>全症例の0％〜24％程度</t>
        </is>
      </c>
      <c r="R281" s="3" t="inlineStr">
        <is>
          <t>全症例の0％〜24％程度</t>
        </is>
      </c>
      <c r="T281" s="3" t="inlineStr">
        <is>
          <t>5回椅子立ち上がりテスト</t>
        </is>
      </c>
      <c r="V281" s="3" t="inlineStr">
        <is>
          <t>認知機能</t>
        </is>
      </c>
      <c r="X281" s="3" t="inlineStr">
        <is>
          <t>実施していない</t>
        </is>
      </c>
      <c r="Z281" s="3" t="inlineStr">
        <is>
          <t>Barthel Index（BI）</t>
        </is>
      </c>
      <c r="AB281" s="3" t="inlineStr">
        <is>
          <t>HDS-R, AMTS</t>
        </is>
      </c>
      <c r="AD281" s="3" t="inlineStr">
        <is>
          <t>開眼片脚立位時間, TUG, SPPB、Functional Reach Test（FRT）, 5回椅子立ち上がりテスト, 認知機能</t>
        </is>
      </c>
      <c r="AF281" s="3" t="inlineStr">
        <is>
          <t>決まっていない</t>
        </is>
      </c>
      <c r="AH281" s="3" t="inlineStr">
        <is>
          <t>症例の状況に応じて実施しているため</t>
        </is>
      </c>
      <c r="AI281" s="3" t="inlineStr">
        <is>
          <t>下肢筋力強化, バランス練習, 歩行練習, 歩容改善, 起立、着座動作練習, 環境調整, 補助具、装具の適正化, 認知面への介入</t>
        </is>
      </c>
    </row>
    <row r="282" ht="22.5" customHeight="1">
      <c r="A282" s="32" t="n">
        <v>46112.5402453588</v>
      </c>
      <c r="B282" s="3" t="inlineStr">
        <is>
          <t>吉崎　真由美</t>
        </is>
      </c>
      <c r="C282" s="3" t="inlineStr">
        <is>
          <t>済生会滋賀県病院</t>
        </is>
      </c>
      <c r="D282" s="3" t="inlineStr">
        <is>
          <t>滋賀県</t>
        </is>
      </c>
      <c r="E282" s="3" t="inlineStr">
        <is>
          <t>mayumi.0018@gmail.com</t>
        </is>
      </c>
      <c r="F282" s="3" t="inlineStr">
        <is>
          <t>リハビリテーション技術科</t>
        </is>
      </c>
      <c r="G282" s="3" t="n">
        <v>231</v>
      </c>
      <c r="H282" s="3" t="n">
        <v>22</v>
      </c>
      <c r="I282" s="3" t="n">
        <v>5</v>
      </c>
      <c r="J282" s="3" t="inlineStr">
        <is>
          <t>届け出はしていないが、現在検討中である</t>
        </is>
      </c>
      <c r="K282" s="3" t="inlineStr">
        <is>
          <t>関節可動域運動, 筋力増強運動, DVT予防, ポジショニング, 術後リハビリテーションのオリエンテーション, 離床（例：車椅子移乗,立位,歩行など）</t>
        </is>
      </c>
      <c r="L282" s="3" t="inlineStr">
        <is>
          <t>全症例の0％〜24％程度</t>
        </is>
      </c>
      <c r="N282" s="3" t="inlineStr">
        <is>
          <t>全症例の0％〜24％程度</t>
        </is>
      </c>
      <c r="P282" s="3" t="inlineStr">
        <is>
          <t>全症例の0％〜24％程度</t>
        </is>
      </c>
      <c r="R282" s="3" t="inlineStr">
        <is>
          <t>全症例の0％〜24％程度</t>
        </is>
      </c>
      <c r="T282" s="3" t="inlineStr">
        <is>
          <t>実施していない</t>
        </is>
      </c>
      <c r="U282" s="3" t="inlineStr">
        <is>
          <t>急性期において、評価をすることでリハビリテーションの内容に変化があるとは考えにくく、個人の状態によって対応することが望ましいと考えます。評価のための評価に手をかけず、訓練時間を有効に使いたい。急性期における予後予測として有効であるならば、検討したい。</t>
        </is>
      </c>
      <c r="V282" s="3" t="inlineStr">
        <is>
          <t>実施していない</t>
        </is>
      </c>
      <c r="W282" s="3" t="inlineStr">
        <is>
          <t>急性期において、評価をすることでリハビリテーションの内容に変化があるとは考えにくく、個人の状態によって対応することが望ましいと考えます。評価のための評価に手をかけず、訓練時間を有効に使いたい。急性期における予後予測として有効であるならば、検討したい。</t>
        </is>
      </c>
      <c r="X282" s="3" t="inlineStr">
        <is>
          <t>実施していない</t>
        </is>
      </c>
      <c r="Y282" s="3" t="inlineStr">
        <is>
          <t>急性期において、評価をすることでリハビリテーションの内容に変化があるとは考えにくく、個人の状態によって対応することが望ましいと考えます。評価のための評価に手をかけず、訓練時間を有効に使いたい。急性期における予後予測として有効であるならば、検討したい。</t>
        </is>
      </c>
      <c r="Z282" s="3" t="inlineStr">
        <is>
          <t>FIM</t>
        </is>
      </c>
      <c r="AB282" s="3" t="inlineStr">
        <is>
          <t>実施していない</t>
        </is>
      </c>
      <c r="AC282" s="3" t="inlineStr">
        <is>
          <t>看護師がAMTSを実施している</t>
        </is>
      </c>
      <c r="AD282" s="3" t="inlineStr">
        <is>
          <t>実施していない</t>
        </is>
      </c>
      <c r="AE282" s="3" t="inlineStr">
        <is>
          <t>決まった項目はなく、随時看護師と情報共有を行っている。</t>
        </is>
      </c>
      <c r="AI282" s="3" t="inlineStr">
        <is>
          <t>下肢筋力強化, バランス練習, 歩行練習, 起立、着座動作練習, 環境調整, 補助具、装具の適正化</t>
        </is>
      </c>
    </row>
    <row r="283" ht="22.5" customHeight="1">
      <c r="A283" s="32" t="n">
        <v>46112.58883195602</v>
      </c>
      <c r="B283" s="3" t="inlineStr">
        <is>
          <t>井関佑坪</t>
        </is>
      </c>
      <c r="C283" s="3" t="inlineStr">
        <is>
          <t>鳥取赤十字病院</t>
        </is>
      </c>
      <c r="D283" s="3" t="inlineStr">
        <is>
          <t>鳥取県</t>
        </is>
      </c>
      <c r="E283" s="3" t="inlineStr">
        <is>
          <t>reh-post@tottori-rc.com</t>
        </is>
      </c>
      <c r="F283" s="3" t="inlineStr">
        <is>
          <t>ﾘﾊﾋﾞﾘﾃｰｼｮﾝ課/理学療法士</t>
        </is>
      </c>
      <c r="G283" s="3" t="n">
        <v>197</v>
      </c>
      <c r="H283" s="3" t="n">
        <v>13</v>
      </c>
      <c r="I283" s="3" t="n">
        <v>4</v>
      </c>
      <c r="J283" s="3" t="inlineStr">
        <is>
          <t>届け出をしておらず、検討もしていない</t>
        </is>
      </c>
      <c r="K283" s="3" t="inlineStr">
        <is>
          <t>関節可動域運動, 筋力増強運動, 呼吸リハビリテーション, DVT予防, リラクセーション, ポジショニング, 自主運動指導, 術後リハビリテーションのオリエンテーション</t>
        </is>
      </c>
      <c r="L283" s="3" t="inlineStr">
        <is>
          <t>全症例の75％〜100％程度</t>
        </is>
      </c>
      <c r="M283" s="3" t="inlineStr">
        <is>
          <t>離床前の鎮痛薬の管理、ヘッドアップ等の環境設定、自助具など物理的な支持を用いる</t>
        </is>
      </c>
      <c r="N283" s="3" t="inlineStr">
        <is>
          <t>全症例の0％〜24％程度</t>
        </is>
      </c>
      <c r="P283" s="3" t="inlineStr">
        <is>
          <t>全症例の0％〜24％程度</t>
        </is>
      </c>
      <c r="R283" s="3" t="inlineStr">
        <is>
          <t>全症例の0％〜24％程度</t>
        </is>
      </c>
      <c r="T283" s="3" t="inlineStr">
        <is>
          <t>握力, 膝伸展筋力, 5回椅子立ち上がりテスト, 歩行速度, SPPB, TUG, 6分間歩行距離, 開眼片脚立位時間, 下腿周径, SARC-F, SARC-CalF</t>
        </is>
      </c>
      <c r="V283" s="3" t="inlineStr">
        <is>
          <t>TUG, 6分間歩行距離, 認知機能, 握力</t>
        </is>
      </c>
      <c r="X283" s="3" t="inlineStr">
        <is>
          <t>立ち上がりテスト, 2ステップテスト</t>
        </is>
      </c>
      <c r="Z283" s="3" t="inlineStr">
        <is>
          <t>Barthel Index（BI）, FIM</t>
        </is>
      </c>
      <c r="AB283" s="3" t="inlineStr">
        <is>
          <t>HDS-R, AMTS</t>
        </is>
      </c>
      <c r="AD283" s="3" t="inlineStr">
        <is>
          <t>実施していない</t>
        </is>
      </c>
      <c r="AE283" s="3" t="inlineStr">
        <is>
          <t>施設内では定めておらず、各スタッフが患者毎に適切な評価を実施するように取り組んでいる</t>
        </is>
      </c>
      <c r="AH283" s="3" t="inlineStr">
        <is>
          <t>患者毎に実施可能な評価が異なるため</t>
        </is>
      </c>
      <c r="AI283" s="3" t="inlineStr">
        <is>
          <t>下肢筋力強化, バランス練習, 歩行練習, 歩容改善, 起立、着座動作練習, 環境調整, 補助具、装具の適正化, 認知面への介入, 行動面への介入, 薬剤調整, 教育、指導</t>
        </is>
      </c>
    </row>
    <row r="284" ht="22.5" customHeight="1">
      <c r="A284" s="32" t="n">
        <v>46112.59963590278</v>
      </c>
      <c r="B284" s="3" t="inlineStr">
        <is>
          <t>酒井邦浩</t>
        </is>
      </c>
      <c r="C284" s="3" t="inlineStr">
        <is>
          <t>郡上市民病院</t>
        </is>
      </c>
      <c r="D284" s="3" t="inlineStr">
        <is>
          <t>岐阜県</t>
        </is>
      </c>
      <c r="E284" s="3" t="inlineStr">
        <is>
          <t>ku.sakai@city.gujo.lg.jp</t>
        </is>
      </c>
      <c r="F284" s="3" t="inlineStr">
        <is>
          <t>リハビリテーション科、理学療法士</t>
        </is>
      </c>
      <c r="G284" s="3" t="n">
        <v>48</v>
      </c>
      <c r="H284" s="3" t="n">
        <v>5</v>
      </c>
      <c r="I284" s="3" t="n">
        <v>0</v>
      </c>
      <c r="J284" s="3" t="inlineStr">
        <is>
          <t>届け出をしておらず、検討もしていない</t>
        </is>
      </c>
      <c r="K284" s="3" t="inlineStr">
        <is>
          <t>筋力増強運動</t>
        </is>
      </c>
      <c r="L284" s="3" t="inlineStr">
        <is>
          <t>全症例の0％〜24％程度</t>
        </is>
      </c>
      <c r="N284" s="3" t="inlineStr">
        <is>
          <t>全症例の0％〜24％程度</t>
        </is>
      </c>
      <c r="P284" s="3" t="inlineStr">
        <is>
          <t>全症例の0％〜24％程度</t>
        </is>
      </c>
      <c r="R284" s="3" t="inlineStr">
        <is>
          <t>全症例の0％〜24％程度</t>
        </is>
      </c>
      <c r="T284" s="3" t="inlineStr">
        <is>
          <t>握力</t>
        </is>
      </c>
      <c r="V284" s="3" t="inlineStr">
        <is>
          <t>握力</t>
        </is>
      </c>
      <c r="X284" s="3" t="inlineStr">
        <is>
          <t>実施していない</t>
        </is>
      </c>
      <c r="Y284" s="3" t="inlineStr">
        <is>
          <t>明確な理由はない</t>
        </is>
      </c>
      <c r="Z284" s="3" t="inlineStr">
        <is>
          <t>Barthel Index（BI）</t>
        </is>
      </c>
      <c r="AB284" s="3" t="inlineStr">
        <is>
          <t>実施していない</t>
        </is>
      </c>
      <c r="AC284" s="3" t="inlineStr">
        <is>
          <t>看護師が簡易認知症検査を行っているため</t>
        </is>
      </c>
      <c r="AD284" s="3" t="inlineStr">
        <is>
          <t>定量的な下肢筋力測定</t>
        </is>
      </c>
      <c r="AF284" s="3" t="inlineStr">
        <is>
          <t>決まっている</t>
        </is>
      </c>
      <c r="AG284" s="3" t="inlineStr">
        <is>
          <t>3週間目</t>
        </is>
      </c>
      <c r="AI284" s="3" t="inlineStr">
        <is>
          <t>下肢筋力強化, バランス練習, 歩行練習, 歩容改善, 起立、着座動作練習, 環境調整, 補助具、装具の適正化</t>
        </is>
      </c>
    </row>
    <row r="285" ht="22.5" customHeight="1">
      <c r="A285" s="32" t="n">
        <v>46112.62490186343</v>
      </c>
      <c r="B285" s="3" t="inlineStr">
        <is>
          <t>眞野　智一朗</t>
        </is>
      </c>
      <c r="C285" s="3" t="inlineStr">
        <is>
          <t>社会医療法人志仁会　三島中央病院</t>
        </is>
      </c>
      <c r="D285" s="3" t="inlineStr">
        <is>
          <t>静岡県</t>
        </is>
      </c>
      <c r="E285" s="3" t="inlineStr">
        <is>
          <t>reha@mchp.or.jp</t>
        </is>
      </c>
      <c r="G285" s="3" t="n">
        <v>100</v>
      </c>
      <c r="H285" s="3" t="n">
        <v>11</v>
      </c>
      <c r="I285" s="3" t="n">
        <v>2</v>
      </c>
      <c r="J285" s="3" t="inlineStr">
        <is>
          <t>届け出はしていないが、現在検討中である</t>
        </is>
      </c>
      <c r="K285" s="3" t="inlineStr">
        <is>
          <t>関節可動域運動, 筋力増強運動, DVT予防, リラクセーション, 自主運動指導, 術後リハビリテーションのオリエンテーション</t>
        </is>
      </c>
      <c r="L285" s="3" t="inlineStr">
        <is>
          <t>全症例の25％〜49％程度</t>
        </is>
      </c>
      <c r="N285" s="3" t="inlineStr">
        <is>
          <t>全症例の50％〜74％程度</t>
        </is>
      </c>
      <c r="O285" s="3" t="inlineStr">
        <is>
          <t>離床時間の確保</t>
        </is>
      </c>
      <c r="P285" s="3" t="inlineStr">
        <is>
          <t>全症例の25％〜49％程度</t>
        </is>
      </c>
      <c r="R285" s="3" t="inlineStr">
        <is>
          <t>全症例の25％〜49％程度</t>
        </is>
      </c>
      <c r="T285" s="3" t="inlineStr">
        <is>
          <t>握力, 膝伸展筋力, 5回椅子立ち上がりテスト, 歩行速度, 開眼片脚立位時間, 下腿周径</t>
        </is>
      </c>
      <c r="V285" s="3" t="inlineStr">
        <is>
          <t>認知機能, 握力</t>
        </is>
      </c>
      <c r="X285" s="3" t="inlineStr">
        <is>
          <t>立ち上がりテスト</t>
        </is>
      </c>
      <c r="Z285" s="3" t="inlineStr">
        <is>
          <t>Barthel Index（BI）</t>
        </is>
      </c>
      <c r="AB285" s="3" t="inlineStr">
        <is>
          <t>HDS-R, 簡易認知テスト</t>
        </is>
      </c>
      <c r="AD285" s="3" t="inlineStr">
        <is>
          <t>開眼片脚立位時間, 認知機能</t>
        </is>
      </c>
      <c r="AI285" s="3" t="inlineStr">
        <is>
          <t>下肢筋力強化, バランス練習, 歩行練習, 歩容改善, 起立、着座動作練習, 環境調整, 補助具、装具の適正化, 認知面への介入, 教育、指導</t>
        </is>
      </c>
    </row>
    <row r="286" ht="22.5" customHeight="1">
      <c r="A286" s="32" t="n">
        <v>46112.66361769676</v>
      </c>
      <c r="B286" s="3" t="inlineStr">
        <is>
          <t>藤井 和敬</t>
        </is>
      </c>
      <c r="C286" s="3" t="inlineStr">
        <is>
          <t>地方独立行政法人 岡山市立総合医療センター　岡山市立市民病院</t>
        </is>
      </c>
      <c r="D286" s="3" t="inlineStr">
        <is>
          <t>岡山県</t>
        </is>
      </c>
      <c r="E286" s="3" t="inlineStr">
        <is>
          <t>shimin_rihabiri@okayama-gmc.or.jp</t>
        </is>
      </c>
      <c r="F286" s="3" t="inlineStr">
        <is>
          <t>リハビリテーション技術科／理学療法士</t>
        </is>
      </c>
      <c r="G286" s="3" t="n">
        <v>184</v>
      </c>
      <c r="H286" s="3" t="n">
        <v>6</v>
      </c>
      <c r="I286" s="3" t="n">
        <v>0</v>
      </c>
      <c r="J286" s="3" t="inlineStr">
        <is>
          <t>現在、算定している</t>
        </is>
      </c>
      <c r="K286" s="3" t="inlineStr">
        <is>
          <t>DVT予防, ポジショニング, 自主運動指導</t>
        </is>
      </c>
      <c r="L286" s="3" t="inlineStr">
        <is>
          <t>全症例の50％〜74％程度</t>
        </is>
      </c>
      <c r="M286" s="3" t="inlineStr">
        <is>
          <t>鎮痛薬の検討。介入時間の検討（鎮痛薬の作用時間を考慮）。</t>
        </is>
      </c>
      <c r="N286" s="3" t="inlineStr">
        <is>
          <t>全症例の0％〜24％程度</t>
        </is>
      </c>
      <c r="P286" s="3" t="inlineStr">
        <is>
          <t>全症例の0％〜24％程度</t>
        </is>
      </c>
      <c r="R286" s="3" t="inlineStr">
        <is>
          <t>全症例の0％〜24％程度</t>
        </is>
      </c>
      <c r="T286" s="3" t="inlineStr">
        <is>
          <t>実施していない</t>
        </is>
      </c>
      <c r="U286" s="3" t="inlineStr">
        <is>
          <t>対象者の評価として行っている項目はあるが、サルコペニアの評価として実施していないから。</t>
        </is>
      </c>
      <c r="V286" s="3" t="inlineStr">
        <is>
          <t>J-CHS基準</t>
        </is>
      </c>
      <c r="X286" s="3" t="inlineStr">
        <is>
          <t>実施していない</t>
        </is>
      </c>
      <c r="Y286" s="3" t="inlineStr">
        <is>
          <t>ロコモティブシンドロームに関して、統一した評価基準を定めることができていないから。</t>
        </is>
      </c>
      <c r="Z286" s="3" t="inlineStr">
        <is>
          <t>Barthel Index（BI）</t>
        </is>
      </c>
      <c r="AB286" s="3" t="inlineStr">
        <is>
          <t>MMSE, HDS-R, AMTS</t>
        </is>
      </c>
      <c r="AD286" s="3" t="inlineStr">
        <is>
          <t>実施していない</t>
        </is>
      </c>
      <c r="AE286" s="3" t="inlineStr">
        <is>
          <t>PT/OTが評価している項目は多数あるが、FLS活動の一環として画一的な評価は実施できていないから。</t>
        </is>
      </c>
      <c r="AI286" s="3" t="inlineStr">
        <is>
          <t>下肢筋力強化, バランス練習, 歩行練習, 歩容改善, 起立、着座動作練習, 環境調整, 補助具、装具の適正化, 認知面への介入, 行動面への介入, 薬剤調整, 教育、指導</t>
        </is>
      </c>
    </row>
    <row r="287" ht="22.5" customHeight="1">
      <c r="A287" s="32" t="n">
        <v>46112.71264652778</v>
      </c>
      <c r="B287" s="3" t="inlineStr">
        <is>
          <t>古澤隆雄</t>
        </is>
      </c>
      <c r="C287" s="3" t="inlineStr">
        <is>
          <t>北摂総合病院</t>
        </is>
      </c>
      <c r="D287" s="3" t="inlineStr">
        <is>
          <t>大阪府</t>
        </is>
      </c>
      <c r="E287" s="3" t="inlineStr">
        <is>
          <t>furusawa@hokusetsu-hp.jp</t>
        </is>
      </c>
      <c r="F287" s="3" t="inlineStr">
        <is>
          <t>リハビリテーション科/理学療法士</t>
        </is>
      </c>
      <c r="G287" s="3" t="n">
        <v>185</v>
      </c>
      <c r="H287" s="3" t="n">
        <v>11</v>
      </c>
      <c r="I287" s="3" t="n">
        <v>5</v>
      </c>
      <c r="J287" s="3" t="inlineStr">
        <is>
          <t>届け出はしていないが、現在検討中である</t>
        </is>
      </c>
      <c r="K287" s="3" t="inlineStr">
        <is>
          <t>関節可動域運動, 筋力増強運動, DVT予防, ポジショニング, 自主運動指導, 術後リハビリテーションのオリエンテーション</t>
        </is>
      </c>
      <c r="L287" s="3" t="inlineStr">
        <is>
          <t>全症例の50％〜74％程度</t>
        </is>
      </c>
      <c r="N287" s="3" t="inlineStr">
        <is>
          <t>全症例の50％〜74％程度</t>
        </is>
      </c>
      <c r="P287" s="3" t="inlineStr">
        <is>
          <t>全症例の25％〜49％程度</t>
        </is>
      </c>
      <c r="R287" s="3" t="inlineStr">
        <is>
          <t>全症例の25％〜49％程度</t>
        </is>
      </c>
      <c r="T287" s="3" t="inlineStr">
        <is>
          <t>握力, 膝伸展筋力, 5回椅子立ち上がりテスト, 歩行速度</t>
        </is>
      </c>
      <c r="V287" s="3" t="inlineStr">
        <is>
          <t>TUG, 認知機能, 握力</t>
        </is>
      </c>
      <c r="X287" s="3" t="inlineStr">
        <is>
          <t>立ち上がりテスト, 2ステップテスト, ロコモ25（質問票）</t>
        </is>
      </c>
      <c r="Z287" s="3" t="inlineStr">
        <is>
          <t>Barthel Index（BI）</t>
        </is>
      </c>
      <c r="AB287" s="3" t="inlineStr">
        <is>
          <t>MMSE, AMTS</t>
        </is>
      </c>
      <c r="AD287" s="3" t="inlineStr">
        <is>
          <t>TUG, 5回椅子立ち上がりテスト, 認知機能, ベッド周囲および病室環境</t>
        </is>
      </c>
      <c r="AF287" s="3" t="inlineStr">
        <is>
          <t>決まっている</t>
        </is>
      </c>
      <c r="AG287" s="3" t="inlineStr">
        <is>
          <t>術後7日目　術後14日目</t>
        </is>
      </c>
      <c r="AI287" s="3" t="inlineStr">
        <is>
          <t>下肢筋力強化, バランス練習, 歩行練習, 歩容改善, 起立、着座動作練習, 環境調整, 認知面への介入, 教育、指導</t>
        </is>
      </c>
    </row>
    <row r="288" ht="22.5" customHeight="1">
      <c r="A288" s="32" t="n">
        <v>46112.73569282408</v>
      </c>
      <c r="B288" s="3" t="inlineStr">
        <is>
          <t>玉城　翼</t>
        </is>
      </c>
      <c r="C288" s="3" t="inlineStr">
        <is>
          <t>沖縄赤十字病院</t>
        </is>
      </c>
      <c r="D288" s="3" t="inlineStr">
        <is>
          <t>沖縄県</t>
        </is>
      </c>
      <c r="E288" s="3" t="inlineStr">
        <is>
          <t>gskbb22@gmail.com</t>
        </is>
      </c>
      <c r="F288" s="3" t="inlineStr">
        <is>
          <t>リハビリテーション科/理学療法士</t>
        </is>
      </c>
      <c r="G288" s="3" t="n">
        <v>150</v>
      </c>
      <c r="H288" s="3" t="n">
        <v>8</v>
      </c>
      <c r="I288" s="3" t="n">
        <v>0</v>
      </c>
      <c r="J288" s="3" t="inlineStr">
        <is>
          <t>届け出はしていないが、現在検討中である</t>
        </is>
      </c>
      <c r="K288" s="3" t="inlineStr">
        <is>
          <t>実施していない</t>
        </is>
      </c>
      <c r="L288" s="3" t="inlineStr">
        <is>
          <t>全症例の25％〜49％程度</t>
        </is>
      </c>
      <c r="N288" s="3" t="inlineStr">
        <is>
          <t>全症例の25％〜49％程度</t>
        </is>
      </c>
      <c r="P288" s="3" t="inlineStr">
        <is>
          <t>全症例の0％〜24％程度</t>
        </is>
      </c>
      <c r="R288" s="3" t="inlineStr">
        <is>
          <t>全症例の0％〜24％程度</t>
        </is>
      </c>
      <c r="T288" s="3" t="inlineStr">
        <is>
          <t>SPPB</t>
        </is>
      </c>
      <c r="V288" s="3" t="inlineStr">
        <is>
          <t>実施していない</t>
        </is>
      </c>
      <c r="X288" s="3" t="inlineStr">
        <is>
          <t>実施していない</t>
        </is>
      </c>
      <c r="Z288" s="3" t="inlineStr">
        <is>
          <t>Barthel Index（BI）</t>
        </is>
      </c>
      <c r="AB288" s="3" t="inlineStr">
        <is>
          <t>MMSE</t>
        </is>
      </c>
      <c r="AD288" s="3" t="inlineStr">
        <is>
          <t>SPPB、Functional Reach Test（FRT）, 過去の転倒歴</t>
        </is>
      </c>
      <c r="AF288" s="3" t="inlineStr">
        <is>
          <t>決まっていない</t>
        </is>
      </c>
      <c r="AI288" s="3" t="inlineStr">
        <is>
          <t>下肢筋力強化, バランス練習, 歩行練習, 歩容改善, 起立、着座動作練習, 環境調整, 補助具、装具の適正化, 教育、指導</t>
        </is>
      </c>
    </row>
    <row r="289" ht="22.5" customHeight="1">
      <c r="A289" s="32" t="n">
        <v>46112.80305716435</v>
      </c>
      <c r="B289" s="3" t="inlineStr">
        <is>
          <t>相島　孝行</t>
        </is>
      </c>
      <c r="C289" s="3" t="inlineStr">
        <is>
          <t>伊万里有田共立病院</t>
        </is>
      </c>
      <c r="D289" s="3" t="inlineStr">
        <is>
          <t>佐賀県</t>
        </is>
      </c>
      <c r="E289" s="3" t="inlineStr">
        <is>
          <t>riha@imari-arita-hp.or.jp</t>
        </is>
      </c>
      <c r="F289" s="3" t="inlineStr">
        <is>
          <t>リハビリテーション科　理学療法士</t>
        </is>
      </c>
      <c r="G289" s="3" t="n">
        <v>97</v>
      </c>
      <c r="H289" s="3" t="n">
        <v>9</v>
      </c>
      <c r="I289" s="3" t="n">
        <v>0</v>
      </c>
      <c r="J289" s="3" t="inlineStr">
        <is>
          <t>届け出をしておらず、検討もしていない</t>
        </is>
      </c>
      <c r="K289" s="3" t="inlineStr">
        <is>
          <t>DVT予防, ポジショニング, 術後リハビリテーションのオリエンテーション</t>
        </is>
      </c>
      <c r="L289" s="3" t="inlineStr">
        <is>
          <t>全症例の50％〜74％程度</t>
        </is>
      </c>
      <c r="M289" s="3" t="inlineStr">
        <is>
          <t>疼痛コントロール</t>
        </is>
      </c>
      <c r="N289" s="3" t="inlineStr">
        <is>
          <t>全症例の0％〜24％程度</t>
        </is>
      </c>
      <c r="P289" s="3" t="inlineStr">
        <is>
          <t>全症例の25％〜49％程度</t>
        </is>
      </c>
      <c r="R289" s="3" t="inlineStr">
        <is>
          <t>全症例の0％〜24％程度</t>
        </is>
      </c>
      <c r="T289" s="3" t="inlineStr">
        <is>
          <t>握力, 膝伸展筋力, 5回椅子立ち上がりテスト, 歩行速度, TUG, 6分間歩行距離, 開眼片脚立位時間, 下腿周径</t>
        </is>
      </c>
      <c r="V289" s="3" t="inlineStr">
        <is>
          <t>TUG, 6分間歩行距離, 認知機能, 握力</t>
        </is>
      </c>
      <c r="X289" s="3" t="inlineStr">
        <is>
          <t>立ち上がりテスト</t>
        </is>
      </c>
      <c r="Z289" s="3" t="inlineStr">
        <is>
          <t>Barthel Index（BI）, FIM</t>
        </is>
      </c>
      <c r="AB289" s="3" t="inlineStr">
        <is>
          <t>MMSE, HDS-R, AMTS</t>
        </is>
      </c>
      <c r="AD289" s="3" t="inlineStr">
        <is>
          <t>開眼片脚立位時間, TUG, 10m歩行速度, Berg Balance Scale（BBS）, SPPB、Functional Reach Test（FRT）, 認知機能, 過去の転倒歴</t>
        </is>
      </c>
      <c r="AF289" s="3" t="inlineStr">
        <is>
          <t>決まっていない</t>
        </is>
      </c>
      <c r="AH289" s="3" t="inlineStr">
        <is>
          <t>バランス能力に個人差があるため。</t>
        </is>
      </c>
      <c r="AI289" s="3" t="inlineStr">
        <is>
          <t>下肢筋力強化, バランス練習, 歩行練習, 歩容改善, 起立、着座動作練習, 環境調整, 補助具、装具の適正化, 認知面への介入, 行動面への介入, 教育、指導</t>
        </is>
      </c>
    </row>
    <row r="290" ht="22.5" customHeight="1">
      <c r="A290" s="32" t="n">
        <v>46112.86057675926</v>
      </c>
      <c r="B290" s="3" t="inlineStr">
        <is>
          <t>大谷浩樹</t>
        </is>
      </c>
      <c r="C290" s="3" t="inlineStr">
        <is>
          <t>福井総合病院</t>
        </is>
      </c>
      <c r="D290" s="3" t="inlineStr">
        <is>
          <t>福井県</t>
        </is>
      </c>
      <c r="E290" s="3" t="inlineStr">
        <is>
          <t>fsmsc@f-gh.jp</t>
        </is>
      </c>
      <c r="F290" s="3" t="inlineStr">
        <is>
          <t>リハビリテーション課／理学療法士</t>
        </is>
      </c>
      <c r="G290" s="3" t="n">
        <v>127</v>
      </c>
      <c r="H290" s="3" t="n">
        <v>39</v>
      </c>
      <c r="I290" s="3" t="n">
        <v>34</v>
      </c>
      <c r="J290" s="3" t="inlineStr">
        <is>
          <t>届け出はしていないが、現在検討中である</t>
        </is>
      </c>
      <c r="K290" s="3" t="inlineStr">
        <is>
          <t>関節可動域運動, 筋力増強運動, DVT予防, リラクセーション, ポジショニング, 自主運動指導</t>
        </is>
      </c>
      <c r="L290" s="3" t="inlineStr">
        <is>
          <t>全症例の25％〜49％程度</t>
        </is>
      </c>
      <c r="N290" s="3" t="inlineStr">
        <is>
          <t>全症例の0％〜24％程度</t>
        </is>
      </c>
      <c r="P290" s="3" t="inlineStr">
        <is>
          <t>全症例の0％〜24％程度</t>
        </is>
      </c>
      <c r="R290" s="3" t="inlineStr">
        <is>
          <t>全症例の0％〜24％程度</t>
        </is>
      </c>
      <c r="T290" s="3" t="inlineStr">
        <is>
          <t>実施していない</t>
        </is>
      </c>
      <c r="U290" s="3" t="inlineStr">
        <is>
          <t>評価している項目はあるが、サルコペニアを評価しているわけではない。</t>
        </is>
      </c>
      <c r="V290" s="3" t="inlineStr">
        <is>
          <t xml:space="preserve">実施していない, </t>
        </is>
      </c>
      <c r="W290" s="3" t="inlineStr">
        <is>
          <t>評価している項目はあるが、フレイルを評価しているわけではない</t>
        </is>
      </c>
      <c r="X290" s="3" t="inlineStr">
        <is>
          <t>実施していない</t>
        </is>
      </c>
      <c r="Y290" s="3" t="inlineStr">
        <is>
          <t>認知機能の影響で、実施できない事が多いので。</t>
        </is>
      </c>
      <c r="Z290" s="3" t="inlineStr">
        <is>
          <t>Barthel Index（BI）, FIM</t>
        </is>
      </c>
      <c r="AB290" s="3" t="inlineStr">
        <is>
          <t>HDS-R</t>
        </is>
      </c>
      <c r="AD290" s="3" t="inlineStr">
        <is>
          <t>実施していない</t>
        </is>
      </c>
      <c r="AE290" s="3" t="inlineStr">
        <is>
          <t>評価している項目はあるが、FLSの一環ではない。</t>
        </is>
      </c>
      <c r="AI290" s="3" t="inlineStr">
        <is>
          <t>下肢筋力強化, バランス練習, 歩行練習, 歩容改善, 起立、着座動作練習, 環境調整, 補助具、装具の適正化, 認知面への介入, 行動面への介入, 教育、指導</t>
        </is>
      </c>
    </row>
  </sheetData>
  <conditionalFormatting sqref="C1:C1048576">
    <cfRule type="duplicateValues" priority="1" dxfId="8"/>
  </conditionalFormatting>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B1:B36"/>
  <sheetViews>
    <sheetView topLeftCell="B21" zoomScale="85" zoomScaleNormal="85" workbookViewId="0">
      <selection activeCell="B7" sqref="B7"/>
    </sheetView>
  </sheetViews>
  <sheetFormatPr baseColWidth="8" defaultRowHeight="13.2"/>
  <cols>
    <col width="171" bestFit="1" customWidth="1" min="2" max="2"/>
  </cols>
  <sheetData>
    <row r="1">
      <c r="B1" s="16" t="inlineStr">
        <is>
          <t>第1回回答施設の回答率</t>
        </is>
      </c>
    </row>
    <row r="2">
      <c r="B2" s="15" t="inlineStr">
        <is>
          <t>ご施設の都道府県 （都道府県ごとの分布ランキング形式）</t>
        </is>
      </c>
    </row>
    <row r="3">
      <c r="B3" s="15" t="inlineStr">
        <is>
          <t>ご施設の都道府県 （地方ごとの分布ランキング形式）</t>
        </is>
      </c>
    </row>
    <row r="4">
      <c r="B4" s="15" t="inlineStr">
        <is>
          <t>ご施設の都道府県 （都道府県ごとの施設会員数当たり回答率）</t>
        </is>
      </c>
    </row>
    <row r="5">
      <c r="B5" s="15" t="inlineStr">
        <is>
          <t>ご施設の都道府県 （地方ごとの施設会員数当たり回答率）</t>
        </is>
      </c>
    </row>
    <row r="6">
      <c r="B6" s="15" t="inlineStr">
        <is>
          <t>ご所属部署名・職種（任意） →分布にて</t>
        </is>
      </c>
    </row>
    <row r="7">
      <c r="B7" s="13" t="inlineStr">
        <is>
          <t>Q1.  2025年1月～12月における大腿骨近位部骨折の症例数を教えてください。（※保存加療症例を含む）</t>
        </is>
      </c>
    </row>
    <row r="8">
      <c r="B8" s="13" t="inlineStr">
        <is>
          <t>Q2.  2025年1月～12月の期間において、大腿骨近位部骨折を担当した理学療法士（PT）の在籍人数を教えてください。</t>
        </is>
      </c>
    </row>
    <row r="9">
      <c r="B9" s="13" t="inlineStr">
        <is>
          <t>Q3.  2025年1月～12月の期間において、大腿骨近位部骨折を担当した作業療法士（OT）の在籍人数を教えてください。</t>
        </is>
      </c>
    </row>
    <row r="10">
      <c r="B10" s="13" t="inlineStr">
        <is>
          <t>Q4.  整形外科病棟における「リハビリテーション・栄養・口腔連携体制加算」の算定状況について、令和8年度診療報酬改定の発表前の時点でお答えください。【単一選択】</t>
        </is>
      </c>
    </row>
    <row r="11">
      <c r="B11" s="13" t="inlineStr">
        <is>
          <t>Q5.  手術前リハビリテーションで理学療法士または作業療法士が実施している内容を教えてください。【複数選択可】</t>
        </is>
      </c>
    </row>
    <row r="12">
      <c r="B12" s="13" t="inlineStr">
        <is>
          <t>Q6.  身体機能（疼痛、筋力低下など）が原因による制限
【4段階評価】</t>
        </is>
      </c>
    </row>
    <row r="13">
      <c r="B13" s="13" t="inlineStr">
        <is>
          <t>Q6-1.  「50％〜74％」「75％〜100％」を選択した方にお尋ねします。
→立位が可能になるために貴施設で取り組んでいる対応策を教えてください。【自由記述】</t>
        </is>
      </c>
    </row>
    <row r="14">
      <c r="B14" s="13" t="inlineStr">
        <is>
          <t>Q7.  精神・認知機能（認知機能低下、せん妄など）が原因による制限
【4段階評価】</t>
        </is>
      </c>
    </row>
    <row r="15">
      <c r="B15" s="13" t="inlineStr">
        <is>
          <t>Q7-1.  「50％〜74％」「75％〜100％」を選択した方にお尋ねします。
→立位が可能になるために貴施設で取り組んでいる対応策を教えてください。【自由記述】</t>
        </is>
      </c>
    </row>
    <row r="16">
      <c r="B16" s="13" t="inlineStr">
        <is>
          <t>Q8.  全身状態（呼吸・循環障害、貧血、電解質異常など）が原因による制限
【4段階評価】</t>
        </is>
      </c>
    </row>
    <row r="17">
      <c r="B17" s="13" t="inlineStr">
        <is>
          <t>Q8-1.  「50％〜74％」「75％〜100％」を選択した方にお尋ねします。
→立位が可能になるために貴施設で取り組んでいる対応策を教えてください。【自由記述】</t>
        </is>
      </c>
    </row>
    <row r="18">
      <c r="B18" s="13" t="inlineStr">
        <is>
          <t>Q9.  環境的要因（ベッド配置、病室環境、動線などが起因するもの）が原因による制限
【4段階評価】</t>
        </is>
      </c>
    </row>
    <row r="19">
      <c r="B19" s="13" t="inlineStr">
        <is>
          <t>Q9-1.  「50％〜74％」「75％〜100％」を選択した方にお尋ねします。
→立位が可能になるために貴施設で取り組んでいる対応策を教えてください。【自由記述】</t>
        </is>
      </c>
    </row>
    <row r="20">
      <c r="B20" s="13" t="inlineStr">
        <is>
          <t>Q10． サルコペニアの評価として理学療法士または作業療法士が実施している評価項目を教えてください。
【複数選択可】</t>
        </is>
      </c>
    </row>
    <row r="21">
      <c r="B21" s="13" t="inlineStr">
        <is>
          <t>Q10-1 ※「実施していない」を選択した方におたずねします。
→ 実施していない理由を教えてください。【自由記述】</t>
        </is>
      </c>
    </row>
    <row r="22">
      <c r="B22" s="13" t="inlineStr">
        <is>
          <t>Q11． フレイルの評価として理学療法士または作業療法士が実施している評価項目を教えてください。
【複数選択可】</t>
        </is>
      </c>
    </row>
    <row r="23">
      <c r="B23" s="13" t="inlineStr">
        <is>
          <t>Q11-1 ※「実施していない」を選択した方におたずねします。
→ 実施していない理由を教えてください。【自由記述】</t>
        </is>
      </c>
    </row>
    <row r="24">
      <c r="B24" s="13" t="inlineStr">
        <is>
          <t>Q12． ロコモティブシンドロームの評価として理学療法士または作業療法士が実施している評価項目を教えてください。
【複数選択可】</t>
        </is>
      </c>
    </row>
    <row r="25">
      <c r="B25" s="13" t="inlineStr">
        <is>
          <t>Q12-1 ※「実施していない」を選択した方におたずねします。
→ 実施していない理由を教えてください。【自由記述】</t>
        </is>
      </c>
    </row>
    <row r="26">
      <c r="B26" s="13" t="inlineStr">
        <is>
          <t>Q13． ADLの評価として理学療法士または作業療法士が実施している評価項目を教えてください。
【複数選択可】</t>
        </is>
      </c>
    </row>
    <row r="27">
      <c r="B27" s="13" t="inlineStr">
        <is>
          <t>Q13-1 ※「実施していない」を選択した方におたずねします。
→ 実施していない理由を教えてください。【自由記述】</t>
        </is>
      </c>
    </row>
    <row r="28">
      <c r="B28" s="13" t="inlineStr">
        <is>
          <t>Q14． 認知機能の評価として理学,作業療法士または言語聴覚士が実施している評価項目を教えてください。
【複数選択可】</t>
        </is>
      </c>
    </row>
    <row r="29">
      <c r="B29" s="13" t="inlineStr">
        <is>
          <t>Q14-1 ※「実施していない」を選択した方におたずねします。
→ 実施していない理由を教えてください。【自由記述】</t>
        </is>
      </c>
    </row>
    <row r="30">
      <c r="B30" s="13" t="inlineStr">
        <is>
          <t>Q15． 貴施設のFLS活動の一環として、理学療法士または作業療法士が実施することが施設内で定められている転倒リスク評価項目があれば教えてください。
【複数選択可】</t>
        </is>
      </c>
    </row>
    <row r="31">
      <c r="B31" s="13" t="inlineStr">
        <is>
          <t>Q15-1 ※「実施していない」を選択した方におたずねします。
→ 実施していない理由を教えてください。【自由記述】</t>
        </is>
      </c>
    </row>
    <row r="32">
      <c r="B32" s="13" t="inlineStr">
        <is>
          <t>Q15-2 ※「実施している」方におたずねします。
→   評価を実施する時期（術後何日目など）は貴施設のFLS活動として決められていますか。【単一選択】</t>
        </is>
      </c>
    </row>
    <row r="33">
      <c r="B33" s="13" t="inlineStr">
        <is>
          <t>Q15-2-1 ※「決まっている」を選択した方におたずねします。
術後何日目に実施することが決められているか教えてください。【自由記述】</t>
        </is>
      </c>
    </row>
    <row r="34">
      <c r="B34" s="13" t="inlineStr">
        <is>
          <t>Q15-2-2 ※「決まっていない」を選択した方におたずねします。
→ 決まっていない理由を教えてください。【自由記述】</t>
        </is>
      </c>
    </row>
    <row r="35">
      <c r="B35" s="13" t="inlineStr">
        <is>
          <t>Q16． 理学療法士または作業療法士が実施している転倒予防策について教えてください。
【複数選択可】</t>
        </is>
      </c>
    </row>
    <row r="36">
      <c r="B36" s="14" t="inlineStr">
        <is>
          <t>Q16-1 ※「実施していない」を選択した方におたずねします。
→ 実施していない理由を教えてください。【自由記述】</t>
        </is>
      </c>
    </row>
  </sheetData>
  <conditionalFormatting sqref="B1">
    <cfRule type="duplicateValues" priority="2" dxfId="8"/>
  </conditionalFormatting>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O310"/>
  <sheetViews>
    <sheetView zoomScale="43" workbookViewId="0">
      <selection activeCell="R38" sqref="R38"/>
    </sheetView>
  </sheetViews>
  <sheetFormatPr baseColWidth="8" defaultRowHeight="13.2"/>
  <cols>
    <col width="27.5546875" customWidth="1" min="7" max="7"/>
    <col width="57.109375" customWidth="1" min="8" max="8"/>
    <col width="18.33203125" bestFit="1" customWidth="1" min="9" max="9"/>
    <col width="13.109375" bestFit="1" customWidth="1" min="10" max="10"/>
    <col width="18.33203125" bestFit="1" customWidth="1" min="13" max="13"/>
    <col width="11.6640625" bestFit="1" customWidth="1" min="14" max="14"/>
    <col width="17.33203125" bestFit="1" customWidth="1" min="15" max="15"/>
  </cols>
  <sheetData>
    <row r="1">
      <c r="A1" s="6" t="inlineStr">
        <is>
          <t>新潟県</t>
        </is>
      </c>
      <c r="B1" s="6" t="n"/>
      <c r="G1" s="21" t="inlineStr">
        <is>
          <t>地方別回答施設数</t>
        </is>
      </c>
      <c r="I1" s="29" t="inlineStr">
        <is>
          <t>地方別施設会員数</t>
        </is>
      </c>
      <c r="J1" s="21" t="inlineStr">
        <is>
          <t>地方別回答率</t>
        </is>
      </c>
      <c r="M1" s="29" t="inlineStr">
        <is>
          <t>都道府県別回答数</t>
        </is>
      </c>
      <c r="N1" t="inlineStr">
        <is>
          <t>施設会員数</t>
        </is>
      </c>
      <c r="O1" s="21" t="inlineStr">
        <is>
          <t>都道府県別回答率</t>
        </is>
      </c>
    </row>
    <row r="2">
      <c r="A2" s="7" t="inlineStr">
        <is>
          <t>大阪府</t>
        </is>
      </c>
      <c r="B2" s="7" t="n"/>
      <c r="C2" s="5" t="inlineStr">
        <is>
          <t>列1</t>
        </is>
      </c>
      <c r="D2" t="inlineStr">
        <is>
          <t>列2</t>
        </is>
      </c>
      <c r="F2" s="29" t="inlineStr">
        <is>
          <t>北海道</t>
        </is>
      </c>
      <c r="G2" s="29" t="n">
        <v>12</v>
      </c>
      <c r="H2" s="33">
        <f>G2/$G$11</f>
        <v/>
      </c>
      <c r="I2" t="n">
        <v>31</v>
      </c>
      <c r="J2" s="33">
        <f>G2/I2</f>
        <v/>
      </c>
      <c r="L2" s="5" t="inlineStr">
        <is>
          <t>北海道</t>
        </is>
      </c>
      <c r="M2" t="n">
        <v>12</v>
      </c>
      <c r="N2" t="n">
        <v>31</v>
      </c>
      <c r="O2" s="33">
        <f>M2/N2</f>
        <v/>
      </c>
    </row>
    <row r="3">
      <c r="A3" s="6" t="inlineStr">
        <is>
          <t>埼玉県</t>
        </is>
      </c>
      <c r="B3" s="6" t="n"/>
      <c r="C3" s="5" t="inlineStr">
        <is>
          <t>北海道</t>
        </is>
      </c>
      <c r="D3">
        <f>COUNTIF(A:A,C3)</f>
        <v/>
      </c>
      <c r="F3" s="18" t="inlineStr">
        <is>
          <t>東北</t>
        </is>
      </c>
      <c r="G3" t="n">
        <v>22</v>
      </c>
      <c r="H3" s="33">
        <f>G3/$G$11</f>
        <v/>
      </c>
      <c r="I3" t="n">
        <v>44</v>
      </c>
      <c r="J3" s="33">
        <f>G3/I3</f>
        <v/>
      </c>
      <c r="L3" s="5" t="inlineStr">
        <is>
          <t>青森県</t>
        </is>
      </c>
      <c r="M3" t="n">
        <v>6</v>
      </c>
      <c r="N3" t="n">
        <v>9</v>
      </c>
      <c r="O3" s="33">
        <f>M3/N3</f>
        <v/>
      </c>
    </row>
    <row r="4">
      <c r="A4" s="7" t="inlineStr">
        <is>
          <t>東京都</t>
        </is>
      </c>
      <c r="B4" s="7" t="n"/>
      <c r="C4" s="5" t="inlineStr">
        <is>
          <t>青森県</t>
        </is>
      </c>
      <c r="D4">
        <f>COUNTIF(A:A,C4)</f>
        <v/>
      </c>
      <c r="F4" t="inlineStr">
        <is>
          <t>関東</t>
        </is>
      </c>
      <c r="G4" t="n">
        <v>56</v>
      </c>
      <c r="H4" s="33">
        <f>G4/$G$11</f>
        <v/>
      </c>
      <c r="I4" t="n">
        <v>160</v>
      </c>
      <c r="J4" s="33">
        <f>G4/I4</f>
        <v/>
      </c>
      <c r="L4" s="5" t="inlineStr">
        <is>
          <t>岩手県</t>
        </is>
      </c>
      <c r="M4" t="n">
        <v>1</v>
      </c>
      <c r="N4" t="n">
        <v>1</v>
      </c>
      <c r="O4" s="33">
        <f>M4/N4</f>
        <v/>
      </c>
    </row>
    <row r="5">
      <c r="A5" s="6" t="inlineStr">
        <is>
          <t>広島県</t>
        </is>
      </c>
      <c r="B5" s="6" t="n"/>
      <c r="C5" s="5" t="inlineStr">
        <is>
          <t>岩手県</t>
        </is>
      </c>
      <c r="D5">
        <f>COUNTIF(A:A,C5)</f>
        <v/>
      </c>
      <c r="F5" t="inlineStr">
        <is>
          <t>中部</t>
        </is>
      </c>
      <c r="G5" t="n">
        <v>63</v>
      </c>
      <c r="H5" s="33">
        <f>G5/$G$11</f>
        <v/>
      </c>
      <c r="I5" t="n">
        <v>143</v>
      </c>
      <c r="J5" s="33">
        <f>G5/I5</f>
        <v/>
      </c>
      <c r="L5" s="5" t="inlineStr">
        <is>
          <t>宮城県</t>
        </is>
      </c>
      <c r="M5" t="n">
        <v>4</v>
      </c>
      <c r="N5" t="n">
        <v>11</v>
      </c>
      <c r="O5" s="33">
        <f>M5/N5</f>
        <v/>
      </c>
    </row>
    <row r="6">
      <c r="A6" s="7" t="inlineStr">
        <is>
          <t>大阪府</t>
        </is>
      </c>
      <c r="B6" s="7" t="n"/>
      <c r="C6" s="5" t="inlineStr">
        <is>
          <t>宮城県</t>
        </is>
      </c>
      <c r="D6">
        <f>COUNTIF(A:A,C6)</f>
        <v/>
      </c>
      <c r="F6" t="inlineStr">
        <is>
          <t>近畿</t>
        </is>
      </c>
      <c r="G6" t="n">
        <v>62</v>
      </c>
      <c r="H6" s="33">
        <f>G6/$G$11</f>
        <v/>
      </c>
      <c r="I6" t="n">
        <v>139</v>
      </c>
      <c r="J6" s="33">
        <f>G6/I6</f>
        <v/>
      </c>
      <c r="L6" s="5" t="inlineStr">
        <is>
          <t>秋田県</t>
        </is>
      </c>
      <c r="M6" t="n">
        <v>2</v>
      </c>
      <c r="N6" t="n">
        <v>8</v>
      </c>
      <c r="O6" s="33">
        <f>M6/N6</f>
        <v/>
      </c>
    </row>
    <row r="7">
      <c r="A7" s="6" t="inlineStr">
        <is>
          <t>兵庫県</t>
        </is>
      </c>
      <c r="B7" s="6" t="n"/>
      <c r="C7" s="5" t="inlineStr">
        <is>
          <t>秋田県</t>
        </is>
      </c>
      <c r="D7">
        <f>COUNTIF(A:A,C7)</f>
        <v/>
      </c>
      <c r="F7" t="inlineStr">
        <is>
          <t>中国</t>
        </is>
      </c>
      <c r="G7" t="n">
        <v>21</v>
      </c>
      <c r="H7" s="33">
        <f>G7/$G$11</f>
        <v/>
      </c>
      <c r="I7" t="n">
        <v>50</v>
      </c>
      <c r="J7" s="33">
        <f>G7/I7</f>
        <v/>
      </c>
      <c r="L7" s="5" t="inlineStr">
        <is>
          <t>山形県</t>
        </is>
      </c>
      <c r="M7" t="n">
        <v>2</v>
      </c>
      <c r="N7" t="n">
        <v>7</v>
      </c>
      <c r="O7" s="33">
        <f>M7/N7</f>
        <v/>
      </c>
    </row>
    <row r="8">
      <c r="A8" s="7" t="inlineStr">
        <is>
          <t>神奈川県</t>
        </is>
      </c>
      <c r="B8" s="7" t="n"/>
      <c r="C8" s="5" t="inlineStr">
        <is>
          <t>山形県</t>
        </is>
      </c>
      <c r="D8">
        <f>COUNTIF(A:A,C8)</f>
        <v/>
      </c>
      <c r="F8" t="inlineStr">
        <is>
          <t>四国</t>
        </is>
      </c>
      <c r="G8" t="n">
        <v>16</v>
      </c>
      <c r="H8" s="33">
        <f>G8/$G$11</f>
        <v/>
      </c>
      <c r="I8" t="n">
        <v>34</v>
      </c>
      <c r="J8" s="33">
        <f>G8/I8</f>
        <v/>
      </c>
      <c r="L8" s="5" t="inlineStr">
        <is>
          <t>福島県</t>
        </is>
      </c>
      <c r="M8" t="n">
        <v>7</v>
      </c>
      <c r="N8" t="n">
        <v>8</v>
      </c>
      <c r="O8" s="33">
        <f>M8/N8</f>
        <v/>
      </c>
    </row>
    <row r="9">
      <c r="A9" s="6" t="inlineStr">
        <is>
          <t>大阪府</t>
        </is>
      </c>
      <c r="B9" s="6" t="n"/>
      <c r="C9" s="5" t="inlineStr">
        <is>
          <t>福島県</t>
        </is>
      </c>
      <c r="D9">
        <f>COUNTIF(A:A,C9)</f>
        <v/>
      </c>
      <c r="F9" s="18" t="inlineStr">
        <is>
          <t>九州</t>
        </is>
      </c>
      <c r="G9" t="n">
        <v>33</v>
      </c>
      <c r="H9" s="33">
        <f>G9/$G$11</f>
        <v/>
      </c>
      <c r="I9" t="n">
        <v>88</v>
      </c>
      <c r="J9" s="33">
        <f>G9/I9</f>
        <v/>
      </c>
      <c r="L9" s="5" t="inlineStr">
        <is>
          <t>茨城県</t>
        </is>
      </c>
      <c r="M9" t="n">
        <v>4</v>
      </c>
      <c r="N9" t="n">
        <v>14</v>
      </c>
      <c r="O9" s="33">
        <f>M9/N9</f>
        <v/>
      </c>
    </row>
    <row r="10">
      <c r="A10" s="7" t="inlineStr">
        <is>
          <t>愛知県</t>
        </is>
      </c>
      <c r="B10" s="7" t="n"/>
      <c r="C10" s="5" t="inlineStr">
        <is>
          <t>茨城県</t>
        </is>
      </c>
      <c r="D10">
        <f>COUNTIF(A:A,C10)</f>
        <v/>
      </c>
      <c r="F10" s="29" t="inlineStr">
        <is>
          <t>沖縄</t>
        </is>
      </c>
      <c r="G10" t="n">
        <v>4</v>
      </c>
      <c r="H10" s="33">
        <f>G10/$G$11</f>
        <v/>
      </c>
      <c r="I10" t="n">
        <v>10</v>
      </c>
      <c r="J10" s="33">
        <f>G10/I10</f>
        <v/>
      </c>
      <c r="L10" s="5" t="inlineStr">
        <is>
          <t>栃木県</t>
        </is>
      </c>
      <c r="M10" t="n">
        <v>4</v>
      </c>
      <c r="N10" t="n">
        <v>6</v>
      </c>
      <c r="O10" s="33">
        <f>M10/N10</f>
        <v/>
      </c>
    </row>
    <row r="11">
      <c r="A11" s="6" t="inlineStr">
        <is>
          <t>福岡県</t>
        </is>
      </c>
      <c r="B11" s="6" t="n"/>
      <c r="C11" s="5" t="inlineStr">
        <is>
          <t>栃木県</t>
        </is>
      </c>
      <c r="D11">
        <f>COUNTIF(A:A,C11)</f>
        <v/>
      </c>
      <c r="G11">
        <f>SUM(G1:G10)</f>
        <v/>
      </c>
      <c r="H11">
        <f>SUM(H1:H10)</f>
        <v/>
      </c>
      <c r="I11">
        <f>SUM(I1:I10)</f>
        <v/>
      </c>
      <c r="J11" s="34">
        <f>G11/I11</f>
        <v/>
      </c>
      <c r="K11" s="29" t="inlineStr">
        <is>
          <t>←全体の回答率</t>
        </is>
      </c>
      <c r="L11" s="5" t="inlineStr">
        <is>
          <t>群馬県</t>
        </is>
      </c>
      <c r="M11" t="n">
        <v>1</v>
      </c>
      <c r="N11" t="n">
        <v>10</v>
      </c>
      <c r="O11" s="33">
        <f>M11/N11</f>
        <v/>
      </c>
    </row>
    <row r="12">
      <c r="A12" s="7" t="inlineStr">
        <is>
          <t>徳島県</t>
        </is>
      </c>
      <c r="B12" s="7" t="n"/>
      <c r="C12" s="5" t="inlineStr">
        <is>
          <t>群馬県</t>
        </is>
      </c>
      <c r="D12">
        <f>COUNTIF(A:A,C12)</f>
        <v/>
      </c>
      <c r="L12" s="5" t="inlineStr">
        <is>
          <t>埼玉県</t>
        </is>
      </c>
      <c r="M12" t="n">
        <v>11</v>
      </c>
      <c r="N12" t="n">
        <v>29</v>
      </c>
      <c r="O12" s="33">
        <f>M12/N12</f>
        <v/>
      </c>
    </row>
    <row r="13">
      <c r="A13" s="6" t="inlineStr">
        <is>
          <t>高知県</t>
        </is>
      </c>
      <c r="B13" s="6" t="n"/>
      <c r="C13" s="5" t="inlineStr">
        <is>
          <t>埼玉県</t>
        </is>
      </c>
      <c r="D13">
        <f>COUNTIF(A:A,C13)</f>
        <v/>
      </c>
      <c r="I13" s="33" t="n"/>
      <c r="L13" s="5" t="inlineStr">
        <is>
          <t>千葉県</t>
        </is>
      </c>
      <c r="M13" t="n">
        <v>10</v>
      </c>
      <c r="N13" t="n">
        <v>23</v>
      </c>
      <c r="O13" s="33">
        <f>M13/N13</f>
        <v/>
      </c>
    </row>
    <row r="14">
      <c r="A14" s="7" t="inlineStr">
        <is>
          <t>兵庫県</t>
        </is>
      </c>
      <c r="B14" s="7" t="n"/>
      <c r="C14" s="5" t="inlineStr">
        <is>
          <t>千葉県</t>
        </is>
      </c>
      <c r="D14">
        <f>COUNTIF(A:A,C14)</f>
        <v/>
      </c>
      <c r="L14" s="5" t="inlineStr">
        <is>
          <t>東京都</t>
        </is>
      </c>
      <c r="M14" t="n">
        <v>13</v>
      </c>
      <c r="N14" t="n">
        <v>43</v>
      </c>
      <c r="O14" s="33">
        <f>M14/N14</f>
        <v/>
      </c>
    </row>
    <row r="15">
      <c r="A15" s="6" t="inlineStr">
        <is>
          <t>静岡県</t>
        </is>
      </c>
      <c r="B15" s="6" t="n"/>
      <c r="C15" s="5" t="inlineStr">
        <is>
          <t>東京都</t>
        </is>
      </c>
      <c r="D15">
        <f>COUNTIF(A:A,C15)</f>
        <v/>
      </c>
      <c r="G15" s="21" t="n"/>
      <c r="L15" s="5" t="inlineStr">
        <is>
          <t>神奈川県</t>
        </is>
      </c>
      <c r="M15" t="n">
        <v>13</v>
      </c>
      <c r="N15" t="n">
        <v>35</v>
      </c>
      <c r="O15" s="33">
        <f>M15/N15</f>
        <v/>
      </c>
    </row>
    <row r="16">
      <c r="A16" s="7" t="inlineStr">
        <is>
          <t>東京都</t>
        </is>
      </c>
      <c r="B16" s="7" t="n"/>
      <c r="C16" s="5" t="inlineStr">
        <is>
          <t>神奈川県</t>
        </is>
      </c>
      <c r="D16">
        <f>COUNTIF(A:A,C16)</f>
        <v/>
      </c>
      <c r="G16" s="24" t="inlineStr">
        <is>
          <t xml:space="preserve">ご所属部署名・職種（任意） </t>
        </is>
      </c>
      <c r="L16" s="5" t="inlineStr">
        <is>
          <t>新潟県</t>
        </is>
      </c>
      <c r="M16" t="n">
        <v>5</v>
      </c>
      <c r="N16" t="n">
        <v>17</v>
      </c>
      <c r="O16" s="33">
        <f>M16/N16</f>
        <v/>
      </c>
    </row>
    <row r="17">
      <c r="A17" s="6" t="inlineStr">
        <is>
          <t>静岡県</t>
        </is>
      </c>
      <c r="B17" s="6" t="n"/>
      <c r="C17" s="5" t="inlineStr">
        <is>
          <t>新潟県</t>
        </is>
      </c>
      <c r="D17">
        <f>COUNTIF(A:A,C17)</f>
        <v/>
      </c>
      <c r="G17" s="23" t="inlineStr">
        <is>
          <t>リハビリテーションセンター　理学療法学科　理学療法士</t>
        </is>
      </c>
      <c r="H17" s="26" t="inlineStr">
        <is>
          <t>リハビリテーション科（室・課・部・センターも含む）</t>
        </is>
      </c>
      <c r="I17" s="10" t="n"/>
      <c r="L17" s="5" t="inlineStr">
        <is>
          <t>富山県</t>
        </is>
      </c>
      <c r="M17" t="n">
        <v>5</v>
      </c>
      <c r="N17" t="n">
        <v>9</v>
      </c>
      <c r="O17" s="33">
        <f>M17/N17</f>
        <v/>
      </c>
    </row>
    <row r="18">
      <c r="A18" s="7" t="inlineStr">
        <is>
          <t>岐阜県</t>
        </is>
      </c>
      <c r="B18" s="7" t="n"/>
      <c r="C18" s="5" t="inlineStr">
        <is>
          <t>富山県</t>
        </is>
      </c>
      <c r="D18">
        <f>COUNTIF(A:A,C18)</f>
        <v/>
      </c>
      <c r="G18" s="9" t="inlineStr">
        <is>
          <t>リハビリテーションセンター／理学療法士</t>
        </is>
      </c>
      <c r="H18" s="27" t="inlineStr">
        <is>
          <t>理学療法士</t>
        </is>
      </c>
      <c r="I18" s="10" t="n"/>
      <c r="L18" s="5" t="inlineStr">
        <is>
          <t>石川県</t>
        </is>
      </c>
      <c r="M18" t="n">
        <v>3</v>
      </c>
      <c r="N18" t="n">
        <v>8</v>
      </c>
      <c r="O18" s="33">
        <f>M18/N18</f>
        <v/>
      </c>
    </row>
    <row r="19">
      <c r="A19" s="6" t="inlineStr">
        <is>
          <t>神奈川県</t>
        </is>
      </c>
      <c r="B19" s="6" t="n"/>
      <c r="C19" s="5" t="inlineStr">
        <is>
          <t>石川県</t>
        </is>
      </c>
      <c r="D19">
        <f>COUNTIF(A:A,C19)</f>
        <v/>
      </c>
      <c r="G19" s="23" t="inlineStr">
        <is>
          <t>リハビリテーションセンター／理学療法士</t>
        </is>
      </c>
      <c r="H19" s="28" t="inlineStr">
        <is>
          <t>作業療法士</t>
        </is>
      </c>
      <c r="I19" s="10" t="n"/>
      <c r="L19" s="5" t="inlineStr">
        <is>
          <t>福井県</t>
        </is>
      </c>
      <c r="M19" t="n">
        <v>2</v>
      </c>
      <c r="N19" t="n">
        <v>7</v>
      </c>
      <c r="O19" s="33">
        <f>M19/N19</f>
        <v/>
      </c>
    </row>
    <row r="20">
      <c r="A20" s="7" t="inlineStr">
        <is>
          <t>群馬県</t>
        </is>
      </c>
      <c r="B20" s="7" t="n"/>
      <c r="C20" s="5" t="inlineStr">
        <is>
          <t>福井県</t>
        </is>
      </c>
      <c r="D20">
        <f>COUNTIF(A:A,C20)</f>
        <v/>
      </c>
      <c r="G20" s="23" t="inlineStr">
        <is>
          <t>リハビリテーションセンター/理学療法士</t>
        </is>
      </c>
      <c r="H20" s="27" t="inlineStr">
        <is>
          <t>その他</t>
        </is>
      </c>
      <c r="I20" s="10" t="n"/>
      <c r="L20" s="5" t="inlineStr">
        <is>
          <t>山梨県</t>
        </is>
      </c>
      <c r="M20" t="n">
        <v>2</v>
      </c>
      <c r="N20" t="n">
        <v>4</v>
      </c>
      <c r="O20" s="33">
        <f>M20/N20</f>
        <v/>
      </c>
    </row>
    <row r="21">
      <c r="A21" s="6" t="inlineStr">
        <is>
          <t>鹿児島県</t>
        </is>
      </c>
      <c r="B21" s="6" t="n"/>
      <c r="C21" s="5" t="inlineStr">
        <is>
          <t>山梨県</t>
        </is>
      </c>
      <c r="D21">
        <f>COUNTIF(A:A,C21)</f>
        <v/>
      </c>
      <c r="G21" s="9" t="inlineStr">
        <is>
          <t>リハビリテーションセンター/理学療法士</t>
        </is>
      </c>
      <c r="H21" s="30" t="inlineStr">
        <is>
          <t>Q1.  2025年1月～12月における大腿骨近位部骨折の症例数を教えてください。（※保存加療症例を含む）</t>
        </is>
      </c>
      <c r="L21" s="5" t="inlineStr">
        <is>
          <t>長野県</t>
        </is>
      </c>
      <c r="M21" t="n">
        <v>5</v>
      </c>
      <c r="N21" t="n">
        <v>14</v>
      </c>
      <c r="O21" s="33">
        <f>M21/N21</f>
        <v/>
      </c>
    </row>
    <row r="22">
      <c r="A22" s="7" t="inlineStr">
        <is>
          <t>愛知県</t>
        </is>
      </c>
      <c r="B22" s="7" t="n"/>
      <c r="C22" s="5" t="inlineStr">
        <is>
          <t>長野県</t>
        </is>
      </c>
      <c r="D22">
        <f>COUNTIF(A:A,C22)</f>
        <v/>
      </c>
      <c r="G22" s="23" t="inlineStr">
        <is>
          <t>リハビリテーションセンター・理学療法士</t>
        </is>
      </c>
      <c r="H22" s="23" t="n">
        <v>2972</v>
      </c>
      <c r="I22" s="29" t="inlineStr">
        <is>
          <t>MIN</t>
        </is>
      </c>
      <c r="L22" s="5" t="inlineStr">
        <is>
          <t>岐阜県</t>
        </is>
      </c>
      <c r="M22" t="n">
        <v>9</v>
      </c>
      <c r="N22" t="n">
        <v>14</v>
      </c>
      <c r="O22" s="33">
        <f>M22/N22</f>
        <v/>
      </c>
    </row>
    <row r="23">
      <c r="A23" s="6" t="inlineStr">
        <is>
          <t>徳島県</t>
        </is>
      </c>
      <c r="B23" s="6" t="n"/>
      <c r="C23" s="5" t="inlineStr">
        <is>
          <t>岐阜県</t>
        </is>
      </c>
      <c r="D23">
        <f>COUNTIF(A:A,C23)</f>
        <v/>
      </c>
      <c r="G23" s="9" t="inlineStr">
        <is>
          <t>リハビリテーションぶ／理学療法士</t>
        </is>
      </c>
      <c r="H23" s="23" t="n">
        <v>1660</v>
      </c>
      <c r="I23" s="29" t="inlineStr">
        <is>
          <t>MAX</t>
        </is>
      </c>
      <c r="L23" s="5" t="inlineStr">
        <is>
          <t>静岡県</t>
        </is>
      </c>
      <c r="M23" t="n">
        <v>12</v>
      </c>
      <c r="N23" t="n">
        <v>24</v>
      </c>
      <c r="O23" s="33">
        <f>M23/N23</f>
        <v/>
      </c>
    </row>
    <row r="24">
      <c r="A24" s="7" t="inlineStr">
        <is>
          <t>大阪府</t>
        </is>
      </c>
      <c r="B24" s="7" t="n"/>
      <c r="C24" s="5" t="inlineStr">
        <is>
          <t>静岡県</t>
        </is>
      </c>
      <c r="D24">
        <f>COUNTIF(A:A,C24)</f>
        <v/>
      </c>
      <c r="G24" s="9" t="inlineStr">
        <is>
          <t>リハビリテーション科</t>
        </is>
      </c>
      <c r="H24" s="23" t="n">
        <v>996</v>
      </c>
      <c r="I24" s="29" t="inlineStr">
        <is>
          <t>MED</t>
        </is>
      </c>
      <c r="L24" s="5" t="inlineStr">
        <is>
          <t>愛知県</t>
        </is>
      </c>
      <c r="M24" t="n">
        <v>20</v>
      </c>
      <c r="N24" t="n">
        <v>46</v>
      </c>
      <c r="O24" s="33">
        <f>M24/N24</f>
        <v/>
      </c>
    </row>
    <row r="25">
      <c r="A25" s="6" t="inlineStr">
        <is>
          <t>千葉県</t>
        </is>
      </c>
      <c r="B25" s="6" t="n"/>
      <c r="C25" s="5" t="inlineStr">
        <is>
          <t>愛知県</t>
        </is>
      </c>
      <c r="D25">
        <f>COUNTIF(A:A,C25)</f>
        <v/>
      </c>
      <c r="G25" s="23" t="inlineStr">
        <is>
          <t>リハビリテーション科</t>
        </is>
      </c>
      <c r="H25" s="23" t="n">
        <v>826</v>
      </c>
      <c r="I25" s="29" t="inlineStr">
        <is>
          <t>AVG</t>
        </is>
      </c>
      <c r="L25" s="5" t="inlineStr">
        <is>
          <t>三重県</t>
        </is>
      </c>
      <c r="M25" t="n">
        <v>9</v>
      </c>
      <c r="N25" t="n">
        <v>13</v>
      </c>
      <c r="O25" s="33">
        <f>M25/N25</f>
        <v/>
      </c>
    </row>
    <row r="26">
      <c r="A26" s="7" t="inlineStr">
        <is>
          <t>北海道</t>
        </is>
      </c>
      <c r="B26" s="7" t="n"/>
      <c r="C26" s="5" t="inlineStr">
        <is>
          <t>三重県</t>
        </is>
      </c>
      <c r="D26">
        <f>COUNTIF(A:A,C26)</f>
        <v/>
      </c>
      <c r="G26" s="23" t="inlineStr">
        <is>
          <t>リハビリテーション科　作業療法士</t>
        </is>
      </c>
      <c r="H26" s="23" t="n">
        <v>683</v>
      </c>
      <c r="I26" s="29" t="inlineStr">
        <is>
          <t>区間</t>
        </is>
      </c>
      <c r="J26" t="inlineStr">
        <is>
          <t>施設数</t>
        </is>
      </c>
      <c r="K26" t="inlineStr">
        <is>
          <t>累積%</t>
        </is>
      </c>
      <c r="L26" s="5" t="inlineStr">
        <is>
          <t>滋賀県</t>
        </is>
      </c>
      <c r="M26" t="n">
        <v>3</v>
      </c>
      <c r="N26" t="n">
        <v>13</v>
      </c>
      <c r="O26" s="33">
        <f>M26/N26</f>
        <v/>
      </c>
    </row>
    <row r="27">
      <c r="A27" s="6" t="inlineStr">
        <is>
          <t>長崎県</t>
        </is>
      </c>
      <c r="B27" s="6" t="n"/>
      <c r="C27" s="5" t="inlineStr">
        <is>
          <t>滋賀県</t>
        </is>
      </c>
      <c r="D27">
        <f>COUNTIF(A:A,C27)</f>
        <v/>
      </c>
      <c r="G27" s="23" t="inlineStr">
        <is>
          <t>リハビリテーション科　作業療法士</t>
        </is>
      </c>
      <c r="H27" s="9" t="n">
        <v>606</v>
      </c>
      <c r="I27" s="28" t="inlineStr">
        <is>
          <t>~25</t>
        </is>
      </c>
      <c r="J27" s="10">
        <f>COUNTIF(テーブル6[Q1.  2025年1月～12月における大腿骨近位部骨折の症例数を教えてください。（※保存加療症例を含む）],"&lt;25")</f>
        <v/>
      </c>
      <c r="K27" s="33">
        <f>J27/SUM($J$27:$J$39)</f>
        <v/>
      </c>
      <c r="L27" s="5" t="inlineStr">
        <is>
          <t>京都府</t>
        </is>
      </c>
      <c r="M27" t="n">
        <v>7</v>
      </c>
      <c r="N27" t="n">
        <v>16</v>
      </c>
      <c r="O27" s="33">
        <f>M27/N27</f>
        <v/>
      </c>
    </row>
    <row r="28">
      <c r="A28" s="7" t="inlineStr">
        <is>
          <t>香川県</t>
        </is>
      </c>
      <c r="B28" s="7" t="n"/>
      <c r="C28" s="5" t="inlineStr">
        <is>
          <t>京都府</t>
        </is>
      </c>
      <c r="D28">
        <f>COUNTIF(A:A,C28)</f>
        <v/>
      </c>
      <c r="G28" s="9" t="inlineStr">
        <is>
          <t>リハビリテーション科　作業療法士</t>
        </is>
      </c>
      <c r="H28" s="9" t="n">
        <v>500</v>
      </c>
      <c r="I28" s="28" t="inlineStr">
        <is>
          <t>25~50</t>
        </is>
      </c>
      <c r="J28" s="10">
        <f>COUNTIFS(テーブル6[Q1.  2025年1月～12月における大腿骨近位部骨折の症例数を教えてください。（※保存加療症例を含む）],"&gt;=25",テーブル6[Q1.  2025年1月～12月における大腿骨近位部骨折の症例数を教えてください。（※保存加療症例を含む）],"&lt;50")</f>
        <v/>
      </c>
      <c r="K28" s="33">
        <f>K27+J28/SUM($J$27:$J$39)</f>
        <v/>
      </c>
      <c r="L28" s="5" t="inlineStr">
        <is>
          <t>大阪府</t>
        </is>
      </c>
      <c r="M28" t="n">
        <v>24</v>
      </c>
      <c r="N28" t="n">
        <v>49</v>
      </c>
      <c r="O28" s="33">
        <f>M28/N28</f>
        <v/>
      </c>
    </row>
    <row r="29">
      <c r="A29" s="6" t="inlineStr">
        <is>
          <t>静岡県</t>
        </is>
      </c>
      <c r="B29" s="6" t="n"/>
      <c r="C29" s="5" t="inlineStr">
        <is>
          <t>大阪府</t>
        </is>
      </c>
      <c r="D29">
        <f>COUNTIF(A:A,C29)</f>
        <v/>
      </c>
      <c r="G29" s="23" t="inlineStr">
        <is>
          <t>リハビリテーション科　作業療法士</t>
        </is>
      </c>
      <c r="H29" s="9" t="n">
        <v>410</v>
      </c>
      <c r="I29" s="28" t="inlineStr">
        <is>
          <t>50~75</t>
        </is>
      </c>
      <c r="J29" s="10">
        <f>COUNTIFS(テーブル6[Q1.  2025年1月～12月における大腿骨近位部骨折の症例数を教えてください。（※保存加療症例を含む）],"&gt;=50",テーブル6[Q1.  2025年1月～12月における大腿骨近位部骨折の症例数を教えてください。（※保存加療症例を含む）],"&lt;75")</f>
        <v/>
      </c>
      <c r="K29" s="33">
        <f>K28+J29/SUM($J$27:$J$39)</f>
        <v/>
      </c>
      <c r="L29" s="5" t="inlineStr">
        <is>
          <t>兵庫県</t>
        </is>
      </c>
      <c r="M29" t="n">
        <v>13</v>
      </c>
      <c r="N29" t="n">
        <v>34</v>
      </c>
      <c r="O29" s="33">
        <f>M29/N29</f>
        <v/>
      </c>
    </row>
    <row r="30">
      <c r="A30" s="7" t="inlineStr">
        <is>
          <t>愛知県</t>
        </is>
      </c>
      <c r="B30" s="7" t="n"/>
      <c r="C30" s="5" t="inlineStr">
        <is>
          <t>兵庫県</t>
        </is>
      </c>
      <c r="D30">
        <f>COUNTIF(A:A,C30)</f>
        <v/>
      </c>
      <c r="G30" s="23" t="inlineStr">
        <is>
          <t>ﾘﾊﾋﾞﾘﾃｰｼｮﾝ科　上席理学療法士</t>
        </is>
      </c>
      <c r="H30" s="9" t="n">
        <v>407</v>
      </c>
      <c r="I30" s="28" t="inlineStr">
        <is>
          <t>75~100</t>
        </is>
      </c>
      <c r="J30" s="10">
        <f>COUNTIFS(テーブル6[Q1.  2025年1月～12月における大腿骨近位部骨折の症例数を教えてください。（※保存加療症例を含む）],"&gt;=75",テーブル6[Q1.  2025年1月～12月における大腿骨近位部骨折の症例数を教えてください。（※保存加療症例を含む）],"&lt;100")</f>
        <v/>
      </c>
      <c r="K30" s="33">
        <f>K29+J30/SUM($J$27:$J$39)</f>
        <v/>
      </c>
      <c r="L30" s="5" t="inlineStr">
        <is>
          <t>奈良県</t>
        </is>
      </c>
      <c r="M30" t="n">
        <v>5</v>
      </c>
      <c r="N30" t="n">
        <v>8</v>
      </c>
      <c r="O30" s="33">
        <f>M30/N30</f>
        <v/>
      </c>
    </row>
    <row r="31">
      <c r="A31" s="6" t="inlineStr">
        <is>
          <t>東京都</t>
        </is>
      </c>
      <c r="B31" s="6" t="n"/>
      <c r="C31" s="5" t="inlineStr">
        <is>
          <t>奈良県</t>
        </is>
      </c>
      <c r="D31">
        <f>COUNTIF(A:A,C31)</f>
        <v/>
      </c>
      <c r="G31" s="9" t="inlineStr">
        <is>
          <t>リハビリテーション科　理学療法士</t>
        </is>
      </c>
      <c r="H31" s="23" t="n">
        <v>399</v>
      </c>
      <c r="I31" s="28" t="inlineStr">
        <is>
          <t>100~125</t>
        </is>
      </c>
      <c r="J31" s="10">
        <f>COUNTIFS(テーブル6[Q1.  2025年1月～12月における大腿骨近位部骨折の症例数を教えてください。（※保存加療症例を含む）],"&gt;=100",テーブル6[Q1.  2025年1月～12月における大腿骨近位部骨折の症例数を教えてください。（※保存加療症例を含む）],"&lt;125")</f>
        <v/>
      </c>
      <c r="K31" s="33">
        <f>K30+J31/SUM($J$27:$J$39)</f>
        <v/>
      </c>
      <c r="L31" s="5" t="inlineStr">
        <is>
          <t>和歌山県</t>
        </is>
      </c>
      <c r="M31" t="n">
        <v>1</v>
      </c>
      <c r="N31" t="n">
        <v>6</v>
      </c>
      <c r="O31" s="33">
        <f>M31/N31</f>
        <v/>
      </c>
    </row>
    <row r="32">
      <c r="A32" s="7" t="inlineStr">
        <is>
          <t>福井県</t>
        </is>
      </c>
      <c r="B32" s="7" t="n"/>
      <c r="C32" s="5" t="inlineStr">
        <is>
          <t>和歌山県</t>
        </is>
      </c>
      <c r="D32">
        <f>COUNTIF(A:A,C32)</f>
        <v/>
      </c>
      <c r="G32" s="9" t="inlineStr">
        <is>
          <t>リハビリテーション科　理学療法士</t>
        </is>
      </c>
      <c r="H32" s="23" t="n">
        <v>398</v>
      </c>
      <c r="I32" s="28" t="inlineStr">
        <is>
          <t>125~150</t>
        </is>
      </c>
      <c r="J32" s="10">
        <f>COUNTIFS(テーブル6[Q1.  2025年1月～12月における大腿骨近位部骨折の症例数を教えてください。（※保存加療症例を含む）],"&gt;=125",テーブル6[Q1.  2025年1月～12月における大腿骨近位部骨折の症例数を教えてください。（※保存加療症例を含む）],"&lt;150")</f>
        <v/>
      </c>
      <c r="K32" s="33">
        <f>K31+J32/SUM($J$27:$J$39)</f>
        <v/>
      </c>
      <c r="L32" s="5" t="inlineStr">
        <is>
          <t>鳥取県</t>
        </is>
      </c>
      <c r="M32" t="n">
        <v>2</v>
      </c>
      <c r="N32" t="n">
        <v>4</v>
      </c>
      <c r="O32" s="33">
        <f>M32/N32</f>
        <v/>
      </c>
    </row>
    <row r="33">
      <c r="A33" s="6" t="inlineStr">
        <is>
          <t>新潟県</t>
        </is>
      </c>
      <c r="B33" s="6" t="n"/>
      <c r="C33" s="5" t="inlineStr">
        <is>
          <t>鳥取県</t>
        </is>
      </c>
      <c r="D33">
        <f>COUNTIF(A:A,C33)</f>
        <v/>
      </c>
      <c r="G33" s="23" t="inlineStr">
        <is>
          <t>リハビリテーション科　理学療法士</t>
        </is>
      </c>
      <c r="H33" s="23" t="n">
        <v>364</v>
      </c>
      <c r="I33" s="28" t="inlineStr">
        <is>
          <t>150~175</t>
        </is>
      </c>
      <c r="J33" s="10">
        <f>COUNTIFS(テーブル6[Q1.  2025年1月～12月における大腿骨近位部骨折の症例数を教えてください。（※保存加療症例を含む）],"&gt;=150",テーブル6[Q1.  2025年1月～12月における大腿骨近位部骨折の症例数を教えてください。（※保存加療症例を含む）],"&lt;175")</f>
        <v/>
      </c>
      <c r="K33" s="33">
        <f>K32+J33/SUM($J$27:$J$39)</f>
        <v/>
      </c>
      <c r="L33" s="5" t="inlineStr">
        <is>
          <t>島根県</t>
        </is>
      </c>
      <c r="M33" t="n">
        <v>1</v>
      </c>
      <c r="N33" t="n">
        <v>4</v>
      </c>
      <c r="O33" s="33">
        <f>M33/N33</f>
        <v/>
      </c>
    </row>
    <row r="34">
      <c r="A34" s="7" t="inlineStr">
        <is>
          <t>香川県</t>
        </is>
      </c>
      <c r="B34" s="7" t="n"/>
      <c r="C34" s="5" t="inlineStr">
        <is>
          <t>島根県</t>
        </is>
      </c>
      <c r="D34">
        <f>COUNTIF(A:A,C34)</f>
        <v/>
      </c>
      <c r="G34" s="9" t="inlineStr">
        <is>
          <t>リハビリテーション科　理学療法士</t>
        </is>
      </c>
      <c r="H34" s="23" t="n">
        <v>350</v>
      </c>
      <c r="I34" s="28" t="inlineStr">
        <is>
          <t>175~200</t>
        </is>
      </c>
      <c r="J34" s="10">
        <f>COUNTIFS(テーブル6[Q1.  2025年1月～12月における大腿骨近位部骨折の症例数を教えてください。（※保存加療症例を含む）],"&gt;=175",テーブル6[Q1.  2025年1月～12月における大腿骨近位部骨折の症例数を教えてください。（※保存加療症例を含む）],"&lt;200")</f>
        <v/>
      </c>
      <c r="K34" s="33">
        <f>K33+J34/SUM($J$27:$J$39)</f>
        <v/>
      </c>
      <c r="L34" s="5" t="inlineStr">
        <is>
          <t>岡山県</t>
        </is>
      </c>
      <c r="M34" t="n">
        <v>6</v>
      </c>
      <c r="N34" t="n">
        <v>14</v>
      </c>
      <c r="O34" s="33">
        <f>M34/N34</f>
        <v/>
      </c>
    </row>
    <row r="35">
      <c r="A35" s="6" t="inlineStr">
        <is>
          <t>埼玉県</t>
        </is>
      </c>
      <c r="B35" s="6" t="n"/>
      <c r="C35" s="5" t="inlineStr">
        <is>
          <t>岡山県</t>
        </is>
      </c>
      <c r="D35">
        <f>COUNTIF(A:A,C35)</f>
        <v/>
      </c>
      <c r="G35" s="23" t="inlineStr">
        <is>
          <t>リハビリテーション科　理学療法士</t>
        </is>
      </c>
      <c r="H35" s="23" t="n">
        <v>337</v>
      </c>
      <c r="I35" s="28" t="inlineStr">
        <is>
          <t>200~225</t>
        </is>
      </c>
      <c r="J35" s="10">
        <f>COUNTIFS(テーブル6[Q1.  2025年1月～12月における大腿骨近位部骨折の症例数を教えてください。（※保存加療症例を含む）],"&gt;=200",テーブル6[Q1.  2025年1月～12月における大腿骨近位部骨折の症例数を教えてください。（※保存加療症例を含む）],"&lt;225")</f>
        <v/>
      </c>
      <c r="K35" s="33">
        <f>K34+J35/SUM($J$27:$J$39)</f>
        <v/>
      </c>
      <c r="L35" s="5" t="inlineStr">
        <is>
          <t>広島県</t>
        </is>
      </c>
      <c r="M35" t="n">
        <v>11</v>
      </c>
      <c r="N35" t="n">
        <v>20</v>
      </c>
      <c r="O35" s="33">
        <f>M35/N35</f>
        <v/>
      </c>
    </row>
    <row r="36">
      <c r="A36" s="7" t="inlineStr">
        <is>
          <t>福岡県</t>
        </is>
      </c>
      <c r="B36" s="7" t="n"/>
      <c r="C36" s="5" t="inlineStr">
        <is>
          <t>広島県</t>
        </is>
      </c>
      <c r="D36">
        <f>COUNTIF(A:A,C36)</f>
        <v/>
      </c>
      <c r="G36" s="23" t="inlineStr">
        <is>
          <t>リハビリテーション科　理学療法士</t>
        </is>
      </c>
      <c r="H36" s="9" t="n">
        <v>314</v>
      </c>
      <c r="I36" s="28" t="inlineStr">
        <is>
          <t>225~250</t>
        </is>
      </c>
      <c r="J36" s="10">
        <f>COUNTIFS(テーブル6[Q1.  2025年1月～12月における大腿骨近位部骨折の症例数を教えてください。（※保存加療症例を含む）],"&gt;=225",テーブル6[Q1.  2025年1月～12月における大腿骨近位部骨折の症例数を教えてください。（※保存加療症例を含む）],"&lt;250")</f>
        <v/>
      </c>
      <c r="K36" s="33">
        <f>K35+J36/SUM($J$27:$J$39)</f>
        <v/>
      </c>
      <c r="L36" s="5" t="inlineStr">
        <is>
          <t>山口県</t>
        </is>
      </c>
      <c r="M36" t="n">
        <v>1</v>
      </c>
      <c r="N36" t="n">
        <v>8</v>
      </c>
      <c r="O36" s="33">
        <f>M36/N36</f>
        <v/>
      </c>
    </row>
    <row r="37">
      <c r="A37" s="6" t="inlineStr">
        <is>
          <t>香川県</t>
        </is>
      </c>
      <c r="B37" s="6" t="n"/>
      <c r="C37" s="5" t="inlineStr">
        <is>
          <t>山口県</t>
        </is>
      </c>
      <c r="D37">
        <f>COUNTIF(A:A,C37)</f>
        <v/>
      </c>
      <c r="G37" s="9" t="inlineStr">
        <is>
          <t>リハビリテーション科　理学療法士</t>
        </is>
      </c>
      <c r="H37" s="23" t="n">
        <v>313</v>
      </c>
      <c r="I37" s="28" t="inlineStr">
        <is>
          <t>250~275</t>
        </is>
      </c>
      <c r="J37" s="10">
        <f>COUNTIFS(テーブル6[Q1.  2025年1月～12月における大腿骨近位部骨折の症例数を教えてください。（※保存加療症例を含む）],"&gt;=250",テーブル6[Q1.  2025年1月～12月における大腿骨近位部骨折の症例数を教えてください。（※保存加療症例を含む）],"&lt;275")</f>
        <v/>
      </c>
      <c r="K37" s="33">
        <f>K36+J37/SUM($J$27:$J$39)</f>
        <v/>
      </c>
      <c r="L37" s="5" t="inlineStr">
        <is>
          <t>徳島県</t>
        </is>
      </c>
      <c r="M37" t="n">
        <v>7</v>
      </c>
      <c r="N37" t="n">
        <v>10</v>
      </c>
      <c r="O37" s="33">
        <f>M37/N37</f>
        <v/>
      </c>
    </row>
    <row r="38">
      <c r="A38" s="7" t="inlineStr">
        <is>
          <t>沖縄県</t>
        </is>
      </c>
      <c r="B38" s="7" t="n"/>
      <c r="C38" s="5" t="inlineStr">
        <is>
          <t>徳島県</t>
        </is>
      </c>
      <c r="D38">
        <f>COUNTIF(A:A,C38)</f>
        <v/>
      </c>
      <c r="G38" s="23" t="inlineStr">
        <is>
          <t>リハビリテーション科　理学療法士</t>
        </is>
      </c>
      <c r="H38" s="23" t="n">
        <v>312</v>
      </c>
      <c r="I38" s="31" t="inlineStr">
        <is>
          <t>275~300</t>
        </is>
      </c>
      <c r="J38">
        <f>COUNTIFS(テーブル6[Q1.  2025年1月～12月における大腿骨近位部骨折の症例数を教えてください。（※保存加療症例を含む）],"&gt;=275",テーブル6[Q1.  2025年1月～12月における大腿骨近位部骨折の症例数を教えてください。（※保存加療症例を含む）],"&lt;300")</f>
        <v/>
      </c>
      <c r="K38" s="33">
        <f>K37+J38/SUM($J$27:$J$39)</f>
        <v/>
      </c>
      <c r="L38" s="5" t="inlineStr">
        <is>
          <t>香川県</t>
        </is>
      </c>
      <c r="M38" t="n">
        <v>4</v>
      </c>
      <c r="N38" t="n">
        <v>11</v>
      </c>
      <c r="O38" s="33">
        <f>M38/N38</f>
        <v/>
      </c>
    </row>
    <row r="39">
      <c r="A39" s="6" t="inlineStr">
        <is>
          <t>奈良県</t>
        </is>
      </c>
      <c r="B39" s="6" t="n"/>
      <c r="C39" s="5" t="inlineStr">
        <is>
          <t>香川県</t>
        </is>
      </c>
      <c r="D39">
        <f>COUNTIF(A:A,C39)</f>
        <v/>
      </c>
      <c r="G39" s="23" t="inlineStr">
        <is>
          <t>リハビリテーション科　理学療法士</t>
        </is>
      </c>
      <c r="H39" s="23" t="n">
        <v>311</v>
      </c>
      <c r="I39" s="31" t="inlineStr">
        <is>
          <t>300以上</t>
        </is>
      </c>
      <c r="J39">
        <f>COUNTIF(テーブル6[Q1.  2025年1月～12月における大腿骨近位部骨折の症例数を教えてください。（※保存加療症例を含む）],"&gt;=300")</f>
        <v/>
      </c>
      <c r="K39" s="33">
        <f>K38+J39/SUM($J$27:$J$39)</f>
        <v/>
      </c>
      <c r="L39" s="5" t="inlineStr">
        <is>
          <t>愛媛県</t>
        </is>
      </c>
      <c r="M39" t="n">
        <v>4</v>
      </c>
      <c r="N39" t="n">
        <v>8</v>
      </c>
      <c r="O39" s="33">
        <f>M39/N39</f>
        <v/>
      </c>
    </row>
    <row r="40">
      <c r="A40" s="7" t="inlineStr">
        <is>
          <t>東京都</t>
        </is>
      </c>
      <c r="B40" s="7" t="n"/>
      <c r="C40" s="5" t="inlineStr">
        <is>
          <t>愛媛県</t>
        </is>
      </c>
      <c r="D40">
        <f>COUNTIF(A:A,C40)</f>
        <v/>
      </c>
      <c r="G40" s="9" t="inlineStr">
        <is>
          <t>リハビリテーション科　理学療法士</t>
        </is>
      </c>
      <c r="H40" s="23" t="n">
        <v>306</v>
      </c>
      <c r="L40" s="5" t="inlineStr">
        <is>
          <t>高知県</t>
        </is>
      </c>
      <c r="M40" t="n">
        <v>1</v>
      </c>
      <c r="N40" t="n">
        <v>5</v>
      </c>
      <c r="O40" s="33">
        <f>M40/N40</f>
        <v/>
      </c>
    </row>
    <row r="41">
      <c r="A41" s="6" t="inlineStr">
        <is>
          <t>愛知県</t>
        </is>
      </c>
      <c r="B41" s="6" t="n"/>
      <c r="C41" s="5" t="inlineStr">
        <is>
          <t>高知県</t>
        </is>
      </c>
      <c r="D41">
        <f>COUNTIF(A:A,C41)</f>
        <v/>
      </c>
      <c r="G41" s="9" t="inlineStr">
        <is>
          <t>リハビリテーション科　理学療法士</t>
        </is>
      </c>
      <c r="H41" s="9" t="n">
        <v>299</v>
      </c>
      <c r="L41" s="5" t="inlineStr">
        <is>
          <t>福岡県</t>
        </is>
      </c>
      <c r="M41" t="n">
        <v>8</v>
      </c>
      <c r="N41" t="n">
        <v>32</v>
      </c>
      <c r="O41" s="33">
        <f>M41/N41</f>
        <v/>
      </c>
    </row>
    <row r="42">
      <c r="A42" s="7" t="inlineStr">
        <is>
          <t>長崎県</t>
        </is>
      </c>
      <c r="B42" s="7" t="n"/>
      <c r="C42" s="5" t="inlineStr">
        <is>
          <t>福岡県</t>
        </is>
      </c>
      <c r="D42">
        <f>COUNTIF(A:A,C42)</f>
        <v/>
      </c>
      <c r="G42" s="23" t="inlineStr">
        <is>
          <t>リハビリテーション科　理学療法士</t>
        </is>
      </c>
      <c r="H42" s="23" t="n">
        <v>296</v>
      </c>
      <c r="L42" s="5" t="inlineStr">
        <is>
          <t>佐賀県</t>
        </is>
      </c>
      <c r="M42" t="n">
        <v>4</v>
      </c>
      <c r="N42" t="n">
        <v>8</v>
      </c>
      <c r="O42" s="33">
        <f>M42/N42</f>
        <v/>
      </c>
    </row>
    <row r="43">
      <c r="A43" s="6" t="inlineStr">
        <is>
          <t>大阪府</t>
        </is>
      </c>
      <c r="B43" s="6" t="n"/>
      <c r="C43" s="5" t="inlineStr">
        <is>
          <t>佐賀県</t>
        </is>
      </c>
      <c r="D43">
        <f>COUNTIF(A:A,C43)</f>
        <v/>
      </c>
      <c r="G43" s="23" t="inlineStr">
        <is>
          <t>リハビリテーション科　理学療法士</t>
        </is>
      </c>
      <c r="H43" s="9" t="n">
        <v>290</v>
      </c>
      <c r="L43" s="5" t="inlineStr">
        <is>
          <t>長崎県</t>
        </is>
      </c>
      <c r="M43" t="n">
        <v>7</v>
      </c>
      <c r="N43" t="n">
        <v>14</v>
      </c>
      <c r="O43" s="33">
        <f>M43/N43</f>
        <v/>
      </c>
    </row>
    <row r="44">
      <c r="A44" s="7" t="inlineStr">
        <is>
          <t>神奈川県</t>
        </is>
      </c>
      <c r="B44" s="7" t="n"/>
      <c r="C44" s="5" t="inlineStr">
        <is>
          <t>長崎県</t>
        </is>
      </c>
      <c r="D44">
        <f>COUNTIF(A:A,C44)</f>
        <v/>
      </c>
      <c r="G44" s="23" t="inlineStr">
        <is>
          <t>リハビリテーション科　理学療法士</t>
        </is>
      </c>
      <c r="H44" s="9" t="n">
        <v>289</v>
      </c>
      <c r="L44" s="5" t="inlineStr">
        <is>
          <t>熊本県</t>
        </is>
      </c>
      <c r="M44" t="n">
        <v>5</v>
      </c>
      <c r="N44" t="n">
        <v>9</v>
      </c>
      <c r="O44" s="33">
        <f>M44/N44</f>
        <v/>
      </c>
    </row>
    <row r="45">
      <c r="A45" s="6" t="inlineStr">
        <is>
          <t>大阪府</t>
        </is>
      </c>
      <c r="B45" s="6" t="n"/>
      <c r="C45" s="5" t="inlineStr">
        <is>
          <t>熊本県</t>
        </is>
      </c>
      <c r="D45">
        <f>COUNTIF(A:A,C45)</f>
        <v/>
      </c>
      <c r="G45" s="23" t="inlineStr">
        <is>
          <t>リハビリテーション科　理学療法士</t>
        </is>
      </c>
      <c r="H45" s="9" t="n">
        <v>280</v>
      </c>
      <c r="L45" s="5" t="inlineStr">
        <is>
          <t>大分県</t>
        </is>
      </c>
      <c r="M45" t="n">
        <v>5</v>
      </c>
      <c r="N45" t="n">
        <v>11</v>
      </c>
      <c r="O45" s="33">
        <f>M45/N45</f>
        <v/>
      </c>
    </row>
    <row r="46">
      <c r="A46" s="7" t="inlineStr">
        <is>
          <t>長野県</t>
        </is>
      </c>
      <c r="B46" s="7" t="n"/>
      <c r="C46" s="5" t="inlineStr">
        <is>
          <t>大分県</t>
        </is>
      </c>
      <c r="D46">
        <f>COUNTIF(A:A,C46)</f>
        <v/>
      </c>
      <c r="G46" s="23" t="inlineStr">
        <is>
          <t>リハビリテーション科　理学療法士</t>
        </is>
      </c>
      <c r="H46" s="9" t="n">
        <v>280</v>
      </c>
      <c r="L46" s="5" t="inlineStr">
        <is>
          <t>宮崎県</t>
        </is>
      </c>
      <c r="M46" t="n">
        <v>1</v>
      </c>
      <c r="N46" t="n">
        <v>7</v>
      </c>
      <c r="O46" s="33">
        <f>M46/N46</f>
        <v/>
      </c>
    </row>
    <row r="47">
      <c r="A47" s="6" t="inlineStr">
        <is>
          <t>埼玉県</t>
        </is>
      </c>
      <c r="B47" s="6" t="n"/>
      <c r="C47" s="5" t="inlineStr">
        <is>
          <t>宮崎県</t>
        </is>
      </c>
      <c r="D47">
        <f>COUNTIF(A:A,C47)</f>
        <v/>
      </c>
      <c r="G47" s="23" t="inlineStr">
        <is>
          <t>リハビリテーション科　理学療法士</t>
        </is>
      </c>
      <c r="H47" s="23" t="n">
        <v>278</v>
      </c>
      <c r="L47" s="5" t="inlineStr">
        <is>
          <t>鹿児島県</t>
        </is>
      </c>
      <c r="M47" t="n">
        <v>3</v>
      </c>
      <c r="N47" t="n">
        <v>7</v>
      </c>
      <c r="O47" s="33">
        <f>M47/N47</f>
        <v/>
      </c>
    </row>
    <row r="48">
      <c r="A48" s="7" t="inlineStr">
        <is>
          <t>山形県</t>
        </is>
      </c>
      <c r="B48" s="7" t="n"/>
      <c r="C48" s="5" t="inlineStr">
        <is>
          <t>鹿児島県</t>
        </is>
      </c>
      <c r="D48">
        <f>COUNTIF(A:A,C48)</f>
        <v/>
      </c>
      <c r="G48" s="23" t="inlineStr">
        <is>
          <t>リハビリテーション科　理学療法士</t>
        </is>
      </c>
      <c r="H48" s="9" t="n">
        <v>277</v>
      </c>
      <c r="L48" s="5" t="inlineStr">
        <is>
          <t>沖縄県</t>
        </is>
      </c>
      <c r="M48" t="n">
        <v>4</v>
      </c>
      <c r="N48" t="n">
        <v>10</v>
      </c>
      <c r="O48" s="33">
        <f>M48/N48</f>
        <v/>
      </c>
    </row>
    <row r="49">
      <c r="A49" s="6" t="inlineStr">
        <is>
          <t>愛知県</t>
        </is>
      </c>
      <c r="B49" s="6" t="n"/>
      <c r="C49" s="5" t="inlineStr">
        <is>
          <t>沖縄県</t>
        </is>
      </c>
      <c r="D49">
        <f>COUNTIF(A:A,C49)</f>
        <v/>
      </c>
      <c r="G49" s="9" t="inlineStr">
        <is>
          <t>リハビリテーション科　理学療法士</t>
        </is>
      </c>
      <c r="H49" s="9" t="n">
        <v>275</v>
      </c>
      <c r="M49">
        <f>SUM(M2:M48)</f>
        <v/>
      </c>
      <c r="N49">
        <f>SUM(N2:N48)</f>
        <v/>
      </c>
      <c r="O49" s="33">
        <f>M49/N49</f>
        <v/>
      </c>
    </row>
    <row r="50">
      <c r="A50" s="7" t="inlineStr">
        <is>
          <t>神奈川県</t>
        </is>
      </c>
      <c r="B50" s="7" t="n"/>
      <c r="G50" s="23" t="inlineStr">
        <is>
          <t>リハビリテーション科　理学療法士長</t>
        </is>
      </c>
      <c r="H50" s="9" t="n">
        <v>274</v>
      </c>
    </row>
    <row r="51">
      <c r="A51" s="6" t="inlineStr">
        <is>
          <t>兵庫県</t>
        </is>
      </c>
      <c r="B51" s="6" t="n"/>
      <c r="G51" s="23" t="inlineStr">
        <is>
          <t>リハビリテーション科、事務部／理学療法士</t>
        </is>
      </c>
      <c r="H51" s="9" t="n">
        <v>269</v>
      </c>
    </row>
    <row r="52">
      <c r="A52" s="7" t="inlineStr">
        <is>
          <t>秋田県</t>
        </is>
      </c>
      <c r="B52" s="7" t="n"/>
      <c r="G52" s="23" t="inlineStr">
        <is>
          <t>リハビリテーション科、理学療法士</t>
        </is>
      </c>
      <c r="H52" s="9" t="n">
        <v>259</v>
      </c>
    </row>
    <row r="53">
      <c r="A53" s="6" t="inlineStr">
        <is>
          <t>青森県</t>
        </is>
      </c>
      <c r="B53" s="6" t="n"/>
      <c r="G53" s="23" t="inlineStr">
        <is>
          <t>リハビリテーション科/作業療法士</t>
        </is>
      </c>
      <c r="H53" s="23" t="n">
        <v>256</v>
      </c>
    </row>
    <row r="54">
      <c r="A54" s="7" t="inlineStr">
        <is>
          <t>徳島県</t>
        </is>
      </c>
      <c r="B54" s="7" t="n"/>
      <c r="G54" s="23" t="inlineStr">
        <is>
          <t>リハビリテーション科／作業療法士</t>
        </is>
      </c>
      <c r="H54" s="9" t="n">
        <v>255</v>
      </c>
    </row>
    <row r="55">
      <c r="A55" s="6" t="inlineStr">
        <is>
          <t>栃木県</t>
        </is>
      </c>
      <c r="B55" s="6" t="n"/>
      <c r="G55" s="9" t="inlineStr">
        <is>
          <t>リハビリテーション科/作業療法士</t>
        </is>
      </c>
      <c r="H55" s="23" t="n">
        <v>255</v>
      </c>
    </row>
    <row r="56">
      <c r="A56" s="7" t="inlineStr">
        <is>
          <t>神奈川県</t>
        </is>
      </c>
      <c r="B56" s="7" t="n"/>
      <c r="G56" s="23" t="inlineStr">
        <is>
          <t>リハビリテーション科／作業療法士</t>
        </is>
      </c>
      <c r="H56" s="23" t="n">
        <v>253</v>
      </c>
    </row>
    <row r="57">
      <c r="A57" s="6" t="inlineStr">
        <is>
          <t>三重県</t>
        </is>
      </c>
      <c r="B57" s="6" t="n"/>
      <c r="G57" s="23" t="inlineStr">
        <is>
          <t>リハビリテーション科/作業療法士</t>
        </is>
      </c>
      <c r="H57" s="23" t="n">
        <v>251</v>
      </c>
    </row>
    <row r="58">
      <c r="A58" s="7" t="inlineStr">
        <is>
          <t>熊本県</t>
        </is>
      </c>
      <c r="B58" s="7" t="n"/>
      <c r="G58" s="23" t="inlineStr">
        <is>
          <t>リハビリテーション科／理学療法士</t>
        </is>
      </c>
      <c r="H58" s="23" t="n">
        <v>248</v>
      </c>
    </row>
    <row r="59">
      <c r="A59" s="6" t="inlineStr">
        <is>
          <t>大阪府</t>
        </is>
      </c>
      <c r="B59" s="6" t="n"/>
      <c r="G59" s="23" t="inlineStr">
        <is>
          <t>リハビリテーション科/理学療法士</t>
        </is>
      </c>
      <c r="H59" s="23" t="n">
        <v>247</v>
      </c>
    </row>
    <row r="60">
      <c r="A60" s="7" t="inlineStr">
        <is>
          <t>岡山県</t>
        </is>
      </c>
      <c r="B60" s="7" t="n"/>
      <c r="G60" s="23" t="inlineStr">
        <is>
          <t>リハビリテーション科/理学療法士</t>
        </is>
      </c>
      <c r="H60" s="9" t="n">
        <v>246</v>
      </c>
    </row>
    <row r="61">
      <c r="A61" s="6" t="inlineStr">
        <is>
          <t>北海道</t>
        </is>
      </c>
      <c r="B61" s="6" t="n"/>
      <c r="G61" s="23" t="inlineStr">
        <is>
          <t>リハビリテーション科／理学療法士</t>
        </is>
      </c>
      <c r="H61" s="23" t="n">
        <v>244</v>
      </c>
    </row>
    <row r="62">
      <c r="A62" s="7" t="inlineStr">
        <is>
          <t>埼玉県</t>
        </is>
      </c>
      <c r="B62" s="7" t="n"/>
      <c r="G62" s="23" t="inlineStr">
        <is>
          <t>リハビリテーション科/理学療法士</t>
        </is>
      </c>
      <c r="H62" s="23" t="n">
        <v>242</v>
      </c>
    </row>
    <row r="63">
      <c r="A63" s="6" t="inlineStr">
        <is>
          <t>北海道</t>
        </is>
      </c>
      <c r="B63" s="6" t="n"/>
      <c r="G63" s="23" t="inlineStr">
        <is>
          <t>リハビリテーション科／理学療法士</t>
        </is>
      </c>
      <c r="H63" s="9" t="n">
        <v>242</v>
      </c>
    </row>
    <row r="64">
      <c r="A64" s="7" t="inlineStr">
        <is>
          <t>岐阜県</t>
        </is>
      </c>
      <c r="B64" s="7" t="n"/>
      <c r="G64" s="9" t="inlineStr">
        <is>
          <t>リハビリテーション科/理学療法士</t>
        </is>
      </c>
      <c r="H64" s="9" t="n">
        <v>241</v>
      </c>
    </row>
    <row r="65">
      <c r="A65" s="6" t="inlineStr">
        <is>
          <t>大分県</t>
        </is>
      </c>
      <c r="B65" s="6" t="n"/>
      <c r="G65" s="9" t="inlineStr">
        <is>
          <t>リハビリテーション科／理学療法士</t>
        </is>
      </c>
      <c r="H65" s="23" t="n">
        <v>239</v>
      </c>
    </row>
    <row r="66">
      <c r="A66" s="7" t="inlineStr">
        <is>
          <t>愛知県</t>
        </is>
      </c>
      <c r="B66" s="7" t="n"/>
      <c r="G66" s="9" t="inlineStr">
        <is>
          <t>リハビリテーション科／理学療法士</t>
        </is>
      </c>
      <c r="H66" s="23" t="n">
        <v>236</v>
      </c>
    </row>
    <row r="67">
      <c r="A67" s="6" t="inlineStr">
        <is>
          <t>岐阜県</t>
        </is>
      </c>
      <c r="B67" s="6" t="n"/>
      <c r="G67" s="9" t="inlineStr">
        <is>
          <t>リハビリテーション科／理学療法士</t>
        </is>
      </c>
      <c r="H67" s="9" t="n">
        <v>233</v>
      </c>
    </row>
    <row r="68">
      <c r="A68" s="7" t="inlineStr">
        <is>
          <t>鳥取県</t>
        </is>
      </c>
      <c r="B68" s="7" t="n"/>
      <c r="G68" s="23" t="inlineStr">
        <is>
          <t>リハビリテーション科/理学療法士</t>
        </is>
      </c>
      <c r="H68" s="9" t="n">
        <v>233</v>
      </c>
    </row>
    <row r="69">
      <c r="A69" s="6" t="inlineStr">
        <is>
          <t>大阪府</t>
        </is>
      </c>
      <c r="B69" s="6" t="n"/>
      <c r="G69" s="23" t="inlineStr">
        <is>
          <t>リハビリテーション科／理学療法士</t>
        </is>
      </c>
      <c r="H69" s="23" t="n">
        <v>233</v>
      </c>
    </row>
    <row r="70">
      <c r="A70" s="7" t="inlineStr">
        <is>
          <t>奈良県</t>
        </is>
      </c>
      <c r="B70" s="7" t="n"/>
      <c r="G70" s="9" t="inlineStr">
        <is>
          <t>リハビリテーション科/理学療法士</t>
        </is>
      </c>
      <c r="H70" s="23" t="n">
        <v>231</v>
      </c>
    </row>
    <row r="71">
      <c r="A71" s="6" t="inlineStr">
        <is>
          <t>長野県</t>
        </is>
      </c>
      <c r="B71" s="6" t="n"/>
      <c r="G71" s="9" t="inlineStr">
        <is>
          <t>リハビリテーション科/理学療法士</t>
        </is>
      </c>
      <c r="H71" s="23" t="n">
        <v>231</v>
      </c>
    </row>
    <row r="72">
      <c r="A72" s="7" t="inlineStr">
        <is>
          <t>兵庫県</t>
        </is>
      </c>
      <c r="B72" s="7" t="n"/>
      <c r="G72" s="23" t="inlineStr">
        <is>
          <t>リハビリテーション科／理学療法士</t>
        </is>
      </c>
      <c r="H72" s="9" t="n">
        <v>230</v>
      </c>
    </row>
    <row r="73">
      <c r="A73" s="6" t="inlineStr">
        <is>
          <t>愛知県</t>
        </is>
      </c>
      <c r="B73" s="6" t="n"/>
      <c r="G73" s="9" t="inlineStr">
        <is>
          <t>リハビリテーション科／理学療法士</t>
        </is>
      </c>
      <c r="H73" s="9" t="n">
        <v>229</v>
      </c>
    </row>
    <row r="74">
      <c r="A74" s="7" t="inlineStr">
        <is>
          <t>東京都</t>
        </is>
      </c>
      <c r="B74" s="7" t="n"/>
      <c r="G74" s="9" t="inlineStr">
        <is>
          <t>リハビリテーション科/理学療法士</t>
        </is>
      </c>
      <c r="H74" s="23" t="n">
        <v>227</v>
      </c>
    </row>
    <row r="75">
      <c r="A75" s="6" t="inlineStr">
        <is>
          <t>兵庫県</t>
        </is>
      </c>
      <c r="B75" s="6" t="n"/>
      <c r="G75" s="23" t="inlineStr">
        <is>
          <t>リハビリテーション科／理学療法士</t>
        </is>
      </c>
      <c r="H75" s="23" t="n">
        <v>226</v>
      </c>
    </row>
    <row r="76">
      <c r="A76" s="7" t="inlineStr">
        <is>
          <t>福島県</t>
        </is>
      </c>
      <c r="B76" s="7" t="n"/>
      <c r="G76" s="9" t="inlineStr">
        <is>
          <t>リハビリテーション科/理学療法士</t>
        </is>
      </c>
      <c r="H76" s="9" t="n">
        <v>225</v>
      </c>
    </row>
    <row r="77">
      <c r="A77" s="6" t="inlineStr">
        <is>
          <t>岐阜県</t>
        </is>
      </c>
      <c r="B77" s="6" t="n"/>
      <c r="G77" s="9" t="inlineStr">
        <is>
          <t>リハビリテーション科/理学療法士</t>
        </is>
      </c>
      <c r="H77" s="9" t="n">
        <v>224</v>
      </c>
    </row>
    <row r="78">
      <c r="A78" s="7" t="inlineStr">
        <is>
          <t>愛知県</t>
        </is>
      </c>
      <c r="B78" s="7" t="n"/>
      <c r="G78" s="23" t="inlineStr">
        <is>
          <t>リハビリテーション科／理学療法士</t>
        </is>
      </c>
      <c r="H78" s="23" t="n">
        <v>221</v>
      </c>
    </row>
    <row r="79">
      <c r="A79" s="6" t="inlineStr">
        <is>
          <t>宮城県</t>
        </is>
      </c>
      <c r="B79" s="6" t="n"/>
      <c r="G79" s="23" t="inlineStr">
        <is>
          <t>リハビリテーション科/理学療法士</t>
        </is>
      </c>
      <c r="H79" s="9" t="n">
        <v>221</v>
      </c>
    </row>
    <row r="80">
      <c r="A80" s="7" t="inlineStr">
        <is>
          <t>静岡県</t>
        </is>
      </c>
      <c r="B80" s="7" t="n"/>
      <c r="G80" s="9" t="inlineStr">
        <is>
          <t>リハビリテーション科／理学療法士</t>
        </is>
      </c>
      <c r="H80" s="9" t="n">
        <v>220</v>
      </c>
    </row>
    <row r="81">
      <c r="A81" s="6" t="inlineStr">
        <is>
          <t>香川県</t>
        </is>
      </c>
      <c r="B81" s="6" t="n"/>
      <c r="G81" s="9" t="inlineStr">
        <is>
          <t>リハビリテーション科／理学療法士</t>
        </is>
      </c>
      <c r="H81" s="23" t="n">
        <v>220</v>
      </c>
    </row>
    <row r="82">
      <c r="A82" s="7" t="inlineStr">
        <is>
          <t>愛媛県</t>
        </is>
      </c>
      <c r="B82" s="7" t="n"/>
      <c r="G82" s="23" t="inlineStr">
        <is>
          <t>リハビリテーション科/理学療法士</t>
        </is>
      </c>
      <c r="H82" s="23" t="n">
        <v>218</v>
      </c>
    </row>
    <row r="83">
      <c r="A83" s="6" t="inlineStr">
        <is>
          <t>愛媛県</t>
        </is>
      </c>
      <c r="B83" s="6" t="n"/>
      <c r="G83" s="23" t="inlineStr">
        <is>
          <t>リハビリテーション科/理学療法士</t>
        </is>
      </c>
      <c r="H83" s="23" t="n">
        <v>216</v>
      </c>
    </row>
    <row r="84">
      <c r="A84" s="7" t="inlineStr">
        <is>
          <t>長崎県</t>
        </is>
      </c>
      <c r="B84" s="7" t="n"/>
      <c r="G84" s="9" t="inlineStr">
        <is>
          <t>リハビリテーション科／理学療法士</t>
        </is>
      </c>
      <c r="H84" s="23" t="n">
        <v>216</v>
      </c>
    </row>
    <row r="85">
      <c r="A85" s="6" t="inlineStr">
        <is>
          <t>山梨県</t>
        </is>
      </c>
      <c r="B85" s="6" t="n"/>
      <c r="G85" s="23" t="inlineStr">
        <is>
          <t>リハビリテーション科/理学療法士</t>
        </is>
      </c>
      <c r="H85" s="9" t="n">
        <v>215</v>
      </c>
    </row>
    <row r="86">
      <c r="A86" s="7" t="inlineStr">
        <is>
          <t>福島県</t>
        </is>
      </c>
      <c r="B86" s="7" t="n"/>
      <c r="G86" s="9" t="inlineStr">
        <is>
          <t>リハビリテーション科／理学療法士</t>
        </is>
      </c>
      <c r="H86" s="9" t="n">
        <v>214</v>
      </c>
    </row>
    <row r="87">
      <c r="A87" s="6" t="inlineStr">
        <is>
          <t>埼玉県</t>
        </is>
      </c>
      <c r="B87" s="6" t="n"/>
      <c r="G87" s="9" t="inlineStr">
        <is>
          <t>リハビリテーション科／理学療法士</t>
        </is>
      </c>
      <c r="H87" s="23" t="n">
        <v>213</v>
      </c>
    </row>
    <row r="88">
      <c r="A88" s="7" t="inlineStr">
        <is>
          <t>福島県</t>
        </is>
      </c>
      <c r="B88" s="7" t="n"/>
      <c r="G88" s="9" t="inlineStr">
        <is>
          <t>リハビリテーション科／理学療法士</t>
        </is>
      </c>
      <c r="H88" s="23" t="n">
        <v>211</v>
      </c>
    </row>
    <row r="89">
      <c r="A89" s="6" t="inlineStr">
        <is>
          <t>三重県</t>
        </is>
      </c>
      <c r="B89" s="6" t="n"/>
      <c r="G89" s="23" t="inlineStr">
        <is>
          <t>リハビリテーション科／理学療法士</t>
        </is>
      </c>
      <c r="H89" s="9" t="n">
        <v>211</v>
      </c>
    </row>
    <row r="90">
      <c r="A90" s="7" t="inlineStr">
        <is>
          <t>愛知県</t>
        </is>
      </c>
      <c r="B90" s="7" t="n"/>
      <c r="G90" s="23" t="inlineStr">
        <is>
          <t>リハビリテーション科／理学療法士</t>
        </is>
      </c>
      <c r="H90" s="9" t="n">
        <v>211</v>
      </c>
    </row>
    <row r="91">
      <c r="A91" s="6" t="inlineStr">
        <is>
          <t>大分県</t>
        </is>
      </c>
      <c r="B91" s="6" t="n"/>
      <c r="G91" s="23" t="inlineStr">
        <is>
          <t>リハビリテーション科/理学療法士</t>
        </is>
      </c>
      <c r="H91" s="9" t="n">
        <v>207</v>
      </c>
    </row>
    <row r="92">
      <c r="A92" s="7" t="inlineStr">
        <is>
          <t>鹿児島県</t>
        </is>
      </c>
      <c r="B92" s="7" t="n"/>
      <c r="G92" s="9" t="inlineStr">
        <is>
          <t>リハビリテーション科/理学療法士</t>
        </is>
      </c>
      <c r="H92" s="23" t="n">
        <v>206</v>
      </c>
    </row>
    <row r="93">
      <c r="A93" s="6" t="inlineStr">
        <is>
          <t>埼玉県</t>
        </is>
      </c>
      <c r="B93" s="6" t="n"/>
      <c r="G93" s="23" t="inlineStr">
        <is>
          <t>リハビリテーション科/理学療法士</t>
        </is>
      </c>
      <c r="H93" s="23" t="n">
        <v>205</v>
      </c>
    </row>
    <row r="94">
      <c r="A94" s="7" t="inlineStr">
        <is>
          <t>大分県</t>
        </is>
      </c>
      <c r="B94" s="7" t="n"/>
      <c r="G94" s="9" t="inlineStr">
        <is>
          <t>リハビリテーション科／理学療法士</t>
        </is>
      </c>
      <c r="H94" s="23" t="n">
        <v>203</v>
      </c>
    </row>
    <row r="95">
      <c r="A95" s="6" t="inlineStr">
        <is>
          <t>和歌山県</t>
        </is>
      </c>
      <c r="B95" s="6" t="n"/>
      <c r="G95" s="23" t="inlineStr">
        <is>
          <t>リハビリテーション科/理学療法士</t>
        </is>
      </c>
      <c r="H95" s="9" t="n">
        <v>202</v>
      </c>
    </row>
    <row r="96">
      <c r="A96" s="7" t="inlineStr">
        <is>
          <t>京都府</t>
        </is>
      </c>
      <c r="B96" s="7" t="n"/>
      <c r="G96" s="9" t="inlineStr">
        <is>
          <t>リハビリテーション科／理学療法士</t>
        </is>
      </c>
      <c r="H96" s="23" t="n">
        <v>200</v>
      </c>
    </row>
    <row r="97">
      <c r="A97" s="6" t="inlineStr">
        <is>
          <t>愛知県</t>
        </is>
      </c>
      <c r="B97" s="6" t="n"/>
      <c r="G97" s="23" t="inlineStr">
        <is>
          <t>リハビリテーション科／理学療法士</t>
        </is>
      </c>
      <c r="H97" s="9" t="n">
        <v>200</v>
      </c>
    </row>
    <row r="98">
      <c r="A98" s="7" t="inlineStr">
        <is>
          <t>富山県</t>
        </is>
      </c>
      <c r="B98" s="7" t="n"/>
      <c r="G98" s="9" t="inlineStr">
        <is>
          <t>リハビリテーション科／理学療法士</t>
        </is>
      </c>
      <c r="H98" s="23" t="n">
        <v>199</v>
      </c>
    </row>
    <row r="99">
      <c r="A99" s="6" t="inlineStr">
        <is>
          <t>広島県</t>
        </is>
      </c>
      <c r="B99" s="6" t="n"/>
      <c r="G99" s="23" t="inlineStr">
        <is>
          <t>リハビリテーション科/理学療法士</t>
        </is>
      </c>
      <c r="H99" s="23" t="n">
        <v>198</v>
      </c>
    </row>
    <row r="100">
      <c r="A100" s="7" t="inlineStr">
        <is>
          <t>広島県</t>
        </is>
      </c>
      <c r="B100" s="7" t="n"/>
      <c r="G100" s="9" t="inlineStr">
        <is>
          <t>リハビリテーション科/理学療法士</t>
        </is>
      </c>
      <c r="H100" s="9" t="n">
        <v>197</v>
      </c>
    </row>
    <row r="101">
      <c r="A101" s="6" t="inlineStr">
        <is>
          <t>石川県</t>
        </is>
      </c>
      <c r="B101" s="6" t="n"/>
      <c r="G101" s="23" t="inlineStr">
        <is>
          <t>リハビリテーション科／理学療法士</t>
        </is>
      </c>
      <c r="H101" s="23" t="n">
        <v>194</v>
      </c>
    </row>
    <row r="102">
      <c r="A102" s="7" t="inlineStr">
        <is>
          <t>三重県</t>
        </is>
      </c>
      <c r="B102" s="7" t="n"/>
      <c r="G102" s="9" t="inlineStr">
        <is>
          <t>リハビリテーション科/理学療法士</t>
        </is>
      </c>
      <c r="H102" s="9" t="n">
        <v>194</v>
      </c>
    </row>
    <row r="103">
      <c r="A103" s="6" t="inlineStr">
        <is>
          <t>青森県</t>
        </is>
      </c>
      <c r="B103" s="6" t="n"/>
      <c r="G103" s="23" t="inlineStr">
        <is>
          <t>リハビリテーション科／理学療法士</t>
        </is>
      </c>
      <c r="H103" s="9" t="n">
        <v>193</v>
      </c>
    </row>
    <row r="104">
      <c r="A104" s="7" t="inlineStr">
        <is>
          <t>広島県</t>
        </is>
      </c>
      <c r="B104" s="7" t="n"/>
      <c r="G104" s="23" t="inlineStr">
        <is>
          <t>リハビリテーション科／理学療法士</t>
        </is>
      </c>
      <c r="H104" s="23" t="n">
        <v>192</v>
      </c>
    </row>
    <row r="105">
      <c r="A105" s="6" t="inlineStr">
        <is>
          <t>静岡県</t>
        </is>
      </c>
      <c r="B105" s="6" t="n"/>
      <c r="G105" s="23" t="inlineStr">
        <is>
          <t>リハビリテーション科／理学療法士</t>
        </is>
      </c>
      <c r="H105" s="9" t="n">
        <v>190</v>
      </c>
    </row>
    <row r="106">
      <c r="A106" s="7" t="inlineStr">
        <is>
          <t>長野県</t>
        </is>
      </c>
      <c r="B106" s="7" t="n"/>
      <c r="G106" s="23" t="inlineStr">
        <is>
          <t>リハビリテーション科/理学療法士</t>
        </is>
      </c>
      <c r="H106" s="23" t="n">
        <v>189</v>
      </c>
    </row>
    <row r="107">
      <c r="A107" s="6" t="inlineStr">
        <is>
          <t>大分県</t>
        </is>
      </c>
      <c r="B107" s="6" t="n"/>
      <c r="G107" s="9" t="inlineStr">
        <is>
          <t>リハビリテーション科/理学療法士</t>
        </is>
      </c>
      <c r="H107" s="9" t="n">
        <v>189</v>
      </c>
    </row>
    <row r="108">
      <c r="A108" s="7" t="inlineStr">
        <is>
          <t>京都府</t>
        </is>
      </c>
      <c r="B108" s="7" t="n"/>
      <c r="G108" s="23" t="inlineStr">
        <is>
          <t>リハビリテーション科／理学療法士</t>
        </is>
      </c>
      <c r="H108" s="23" t="n">
        <v>188</v>
      </c>
    </row>
    <row r="109">
      <c r="A109" s="6" t="inlineStr">
        <is>
          <t>三重県</t>
        </is>
      </c>
      <c r="B109" s="6" t="n"/>
      <c r="G109" s="9" t="inlineStr">
        <is>
          <t>リハビリテーション科/理学療法士</t>
        </is>
      </c>
      <c r="H109" s="9" t="n">
        <v>185</v>
      </c>
    </row>
    <row r="110">
      <c r="A110" s="7" t="inlineStr">
        <is>
          <t>神奈川県</t>
        </is>
      </c>
      <c r="B110" s="7" t="n"/>
      <c r="G110" s="23" t="inlineStr">
        <is>
          <t>リハビリテーション科/理学療法士</t>
        </is>
      </c>
      <c r="H110" s="23" t="n">
        <v>184</v>
      </c>
    </row>
    <row r="111">
      <c r="A111" s="6" t="inlineStr">
        <is>
          <t>栃木県</t>
        </is>
      </c>
      <c r="B111" s="6" t="n"/>
      <c r="G111" s="9" t="inlineStr">
        <is>
          <t>リハビリテーション科/理学療法士</t>
        </is>
      </c>
      <c r="H111" s="23" t="n">
        <v>184</v>
      </c>
    </row>
    <row r="112">
      <c r="A112" s="7" t="inlineStr">
        <is>
          <t>福島県</t>
        </is>
      </c>
      <c r="B112" s="7" t="n"/>
      <c r="G112" s="23" t="inlineStr">
        <is>
          <t>リハビリテーション科/理学療法士</t>
        </is>
      </c>
      <c r="H112" s="23" t="n">
        <v>183</v>
      </c>
    </row>
    <row r="113">
      <c r="A113" s="6" t="inlineStr">
        <is>
          <t>三重県</t>
        </is>
      </c>
      <c r="B113" s="6" t="n"/>
      <c r="G113" s="23" t="inlineStr">
        <is>
          <t>リハビリテーション科／理学療法士</t>
        </is>
      </c>
      <c r="H113" s="23" t="n">
        <v>182</v>
      </c>
    </row>
    <row r="114">
      <c r="A114" s="7" t="inlineStr">
        <is>
          <t>奈良県</t>
        </is>
      </c>
      <c r="B114" s="7" t="n"/>
      <c r="G114" s="9" t="inlineStr">
        <is>
          <t>リハビリテーション科/理学療法士</t>
        </is>
      </c>
      <c r="H114" s="23" t="n">
        <v>181</v>
      </c>
    </row>
    <row r="115">
      <c r="A115" s="6" t="inlineStr">
        <is>
          <t>広島県</t>
        </is>
      </c>
      <c r="B115" s="6" t="n"/>
      <c r="G115" s="9" t="inlineStr">
        <is>
          <t>リハビリテーション科/理学療法士</t>
        </is>
      </c>
      <c r="H115" s="9" t="n">
        <v>180</v>
      </c>
    </row>
    <row r="116">
      <c r="A116" s="7" t="inlineStr">
        <is>
          <t>千葉県</t>
        </is>
      </c>
      <c r="B116" s="7" t="n"/>
      <c r="G116" s="23" t="inlineStr">
        <is>
          <t>リハビリテーション科/理学療法士</t>
        </is>
      </c>
      <c r="H116" s="23" t="n">
        <v>180</v>
      </c>
    </row>
    <row r="117">
      <c r="A117" s="6" t="inlineStr">
        <is>
          <t>千葉県</t>
        </is>
      </c>
      <c r="B117" s="6" t="n"/>
      <c r="G117" s="23" t="inlineStr">
        <is>
          <t>リハビリテーション科/理学療法士</t>
        </is>
      </c>
      <c r="H117" s="9" t="n">
        <v>176</v>
      </c>
    </row>
    <row r="118">
      <c r="A118" s="7" t="inlineStr">
        <is>
          <t>岡山県</t>
        </is>
      </c>
      <c r="B118" s="7" t="n"/>
      <c r="G118" s="9" t="inlineStr">
        <is>
          <t>リハビリテーション科／理学療法士</t>
        </is>
      </c>
      <c r="H118" s="23" t="n">
        <v>176</v>
      </c>
    </row>
    <row r="119">
      <c r="A119" s="6" t="inlineStr">
        <is>
          <t>神奈川県</t>
        </is>
      </c>
      <c r="B119" s="6" t="n"/>
      <c r="G119" s="9" t="inlineStr">
        <is>
          <t>リハビリテーション科/理学療法士</t>
        </is>
      </c>
      <c r="H119" s="9" t="n">
        <v>175</v>
      </c>
    </row>
    <row r="120">
      <c r="A120" s="7" t="inlineStr">
        <is>
          <t>熊本県</t>
        </is>
      </c>
      <c r="B120" s="7" t="n"/>
      <c r="G120" s="23" t="inlineStr">
        <is>
          <t>リハビリテーション科／理学療法士</t>
        </is>
      </c>
      <c r="H120" s="9" t="n">
        <v>175</v>
      </c>
    </row>
    <row r="121">
      <c r="A121" s="6" t="inlineStr">
        <is>
          <t>徳島県</t>
        </is>
      </c>
      <c r="B121" s="6" t="n"/>
      <c r="G121" s="9" t="inlineStr">
        <is>
          <t>リハビリテーション科／理学療法士</t>
        </is>
      </c>
      <c r="H121" s="23" t="n">
        <v>175</v>
      </c>
    </row>
    <row r="122">
      <c r="A122" s="7" t="inlineStr">
        <is>
          <t>大阪府</t>
        </is>
      </c>
      <c r="B122" s="7" t="n"/>
      <c r="G122" s="23" t="inlineStr">
        <is>
          <t>リハビリテーション科/理学療法士</t>
        </is>
      </c>
      <c r="H122" s="23" t="n">
        <v>174</v>
      </c>
    </row>
    <row r="123">
      <c r="A123" s="6" t="inlineStr">
        <is>
          <t>千葉県</t>
        </is>
      </c>
      <c r="B123" s="6" t="n"/>
      <c r="G123" s="23" t="inlineStr">
        <is>
          <t>リハビリテーション科／理学療法士</t>
        </is>
      </c>
      <c r="H123" s="9" t="n">
        <v>171</v>
      </c>
    </row>
    <row r="124">
      <c r="A124" s="7" t="inlineStr">
        <is>
          <t>東京都</t>
        </is>
      </c>
      <c r="B124" s="7" t="n"/>
      <c r="G124" s="9" t="inlineStr">
        <is>
          <t>リハビリテーション科／理学療法士</t>
        </is>
      </c>
      <c r="H124" s="23" t="n">
        <v>170</v>
      </c>
    </row>
    <row r="125">
      <c r="A125" s="6" t="inlineStr">
        <is>
          <t>山口県</t>
        </is>
      </c>
      <c r="B125" s="6" t="n"/>
      <c r="G125" s="9" t="inlineStr">
        <is>
          <t>リハビリテーション科/理学療法士</t>
        </is>
      </c>
      <c r="H125" s="23" t="n">
        <v>169</v>
      </c>
    </row>
    <row r="126">
      <c r="A126" s="7" t="inlineStr">
        <is>
          <t>北海道</t>
        </is>
      </c>
      <c r="B126" s="7" t="n"/>
      <c r="G126" s="23" t="inlineStr">
        <is>
          <t>リハビリテーション科／理学療法士</t>
        </is>
      </c>
      <c r="H126" s="9" t="n">
        <v>169</v>
      </c>
    </row>
    <row r="127">
      <c r="A127" s="6" t="inlineStr">
        <is>
          <t>愛知県</t>
        </is>
      </c>
      <c r="B127" s="6" t="n"/>
      <c r="G127" s="23" t="inlineStr">
        <is>
          <t>リハビリテーション科/理学療法士</t>
        </is>
      </c>
      <c r="H127" s="23" t="n">
        <v>169</v>
      </c>
    </row>
    <row r="128">
      <c r="A128" s="7" t="inlineStr">
        <is>
          <t>熊本県</t>
        </is>
      </c>
      <c r="B128" s="7" t="n"/>
      <c r="G128" s="9" t="inlineStr">
        <is>
          <t>リハビリテーション科/理学療法士</t>
        </is>
      </c>
      <c r="H128" s="23" t="n">
        <v>168</v>
      </c>
    </row>
    <row r="129">
      <c r="A129" s="6" t="inlineStr">
        <is>
          <t>千葉県</t>
        </is>
      </c>
      <c r="B129" s="6" t="n"/>
      <c r="G129" s="9" t="inlineStr">
        <is>
          <t>リハビリテーション科/理学療法士</t>
        </is>
      </c>
      <c r="H129" s="9" t="n">
        <v>168</v>
      </c>
    </row>
    <row r="130">
      <c r="A130" s="7" t="inlineStr">
        <is>
          <t>東京都</t>
        </is>
      </c>
      <c r="B130" s="7" t="n"/>
      <c r="G130" s="23" t="inlineStr">
        <is>
          <t>リハビリテーション科/理学療法士</t>
        </is>
      </c>
      <c r="H130" s="23" t="n">
        <v>168</v>
      </c>
    </row>
    <row r="131">
      <c r="A131" s="6" t="inlineStr">
        <is>
          <t>茨城県</t>
        </is>
      </c>
      <c r="B131" s="6" t="n"/>
      <c r="G131" s="23" t="inlineStr">
        <is>
          <t>リハビリテーション科/理学療法士</t>
        </is>
      </c>
      <c r="H131" s="9" t="n">
        <v>168</v>
      </c>
    </row>
    <row r="132">
      <c r="A132" s="7" t="inlineStr">
        <is>
          <t>兵庫県</t>
        </is>
      </c>
      <c r="B132" s="7" t="n"/>
      <c r="G132" s="23" t="inlineStr">
        <is>
          <t>リハビリテーション科／理学療法士</t>
        </is>
      </c>
      <c r="H132" s="23" t="n">
        <v>167</v>
      </c>
    </row>
    <row r="133">
      <c r="A133" s="6" t="inlineStr">
        <is>
          <t>愛知県</t>
        </is>
      </c>
      <c r="B133" s="6" t="n"/>
      <c r="G133" s="23" t="inlineStr">
        <is>
          <t>リハビリテーション科／理学療法士</t>
        </is>
      </c>
      <c r="H133" s="9" t="n">
        <v>163</v>
      </c>
    </row>
    <row r="134">
      <c r="A134" s="7" t="inlineStr">
        <is>
          <t>福島県</t>
        </is>
      </c>
      <c r="B134" s="7" t="n"/>
      <c r="G134" s="9" t="inlineStr">
        <is>
          <t>リハビリテーション科/理学療法士</t>
        </is>
      </c>
      <c r="H134" s="9" t="n">
        <v>162</v>
      </c>
    </row>
    <row r="135">
      <c r="A135" s="6" t="inlineStr">
        <is>
          <t>愛知県</t>
        </is>
      </c>
      <c r="B135" s="6" t="n"/>
      <c r="G135" s="23" t="inlineStr">
        <is>
          <t>リハビリテーション科/理学療法士</t>
        </is>
      </c>
      <c r="H135" s="23" t="n">
        <v>160</v>
      </c>
    </row>
    <row r="136">
      <c r="A136" s="7" t="inlineStr">
        <is>
          <t>大阪府</t>
        </is>
      </c>
      <c r="B136" s="7" t="n"/>
      <c r="G136" s="9" t="inlineStr">
        <is>
          <t>リハビリテーション科/理学療法士</t>
        </is>
      </c>
      <c r="H136" s="9" t="n">
        <v>160</v>
      </c>
    </row>
    <row r="137">
      <c r="A137" s="6" t="inlineStr">
        <is>
          <t>福岡県</t>
        </is>
      </c>
      <c r="B137" s="6" t="n"/>
      <c r="G137" s="23" t="inlineStr">
        <is>
          <t>リハビリテーション科/理学療法士</t>
        </is>
      </c>
      <c r="H137" s="9" t="n">
        <v>160</v>
      </c>
    </row>
    <row r="138">
      <c r="A138" s="7" t="inlineStr">
        <is>
          <t>大阪府</t>
        </is>
      </c>
      <c r="B138" s="7" t="n"/>
      <c r="G138" s="23" t="inlineStr">
        <is>
          <t>リハビリテーション科／理学療法士</t>
        </is>
      </c>
      <c r="H138" s="9" t="n">
        <v>159</v>
      </c>
    </row>
    <row r="139">
      <c r="A139" s="6" t="inlineStr">
        <is>
          <t>山形県</t>
        </is>
      </c>
      <c r="B139" s="6" t="n"/>
      <c r="G139" s="9" t="inlineStr">
        <is>
          <t>リハビリテーション科/理学療法士</t>
        </is>
      </c>
      <c r="H139" s="9" t="n">
        <v>159</v>
      </c>
    </row>
    <row r="140">
      <c r="A140" s="7" t="inlineStr">
        <is>
          <t>大分県</t>
        </is>
      </c>
      <c r="B140" s="7" t="n"/>
      <c r="G140" s="23" t="inlineStr">
        <is>
          <t>リハビリテーション科/理学療法士</t>
        </is>
      </c>
      <c r="H140" s="9" t="n">
        <v>156</v>
      </c>
    </row>
    <row r="141">
      <c r="A141" s="6" t="inlineStr">
        <is>
          <t>大阪府</t>
        </is>
      </c>
      <c r="B141" s="6" t="n"/>
      <c r="G141" s="23" t="inlineStr">
        <is>
          <t>リハビリテーション科/理学療法士</t>
        </is>
      </c>
      <c r="H141" s="23" t="n">
        <v>155</v>
      </c>
    </row>
    <row r="142">
      <c r="A142" s="7" t="inlineStr">
        <is>
          <t>岡山県</t>
        </is>
      </c>
      <c r="B142" s="7" t="n"/>
      <c r="G142" s="9" t="inlineStr">
        <is>
          <t>リハビリテーション科／理学療法士</t>
        </is>
      </c>
      <c r="H142" s="23" t="n">
        <v>155</v>
      </c>
    </row>
    <row r="143">
      <c r="A143" s="6" t="inlineStr">
        <is>
          <t>岩手県</t>
        </is>
      </c>
      <c r="B143" s="6" t="n"/>
      <c r="G143" s="9" t="inlineStr">
        <is>
          <t>リハビリテーション科/理学療法士</t>
        </is>
      </c>
      <c r="H143" s="23" t="n">
        <v>154</v>
      </c>
    </row>
    <row r="144">
      <c r="A144" s="7" t="inlineStr">
        <is>
          <t>栃木県</t>
        </is>
      </c>
      <c r="B144" s="7" t="n"/>
      <c r="G144" s="9" t="inlineStr">
        <is>
          <t>リハビリテーション科/理学療法士</t>
        </is>
      </c>
      <c r="H144" s="23" t="n">
        <v>153</v>
      </c>
    </row>
    <row r="145">
      <c r="A145" s="6" t="inlineStr">
        <is>
          <t>愛知県</t>
        </is>
      </c>
      <c r="B145" s="6" t="n"/>
      <c r="G145" s="9" t="inlineStr">
        <is>
          <t>リハビリテーション科／理学療法士</t>
        </is>
      </c>
      <c r="H145" s="9" t="n">
        <v>151</v>
      </c>
    </row>
    <row r="146">
      <c r="A146" s="7" t="inlineStr">
        <is>
          <t>大阪府</t>
        </is>
      </c>
      <c r="B146" s="7" t="n"/>
      <c r="G146" s="23" t="inlineStr">
        <is>
          <t>リハビリテーション科／理学療法士</t>
        </is>
      </c>
      <c r="H146" s="23" t="n">
        <v>150</v>
      </c>
    </row>
    <row r="147">
      <c r="A147" s="6" t="inlineStr">
        <is>
          <t>福岡県</t>
        </is>
      </c>
      <c r="B147" s="6" t="n"/>
      <c r="G147" s="9" t="inlineStr">
        <is>
          <t>リハビリテーション科／理学療法士</t>
        </is>
      </c>
      <c r="H147" s="23" t="n">
        <v>150</v>
      </c>
    </row>
    <row r="148">
      <c r="A148" s="7" t="inlineStr">
        <is>
          <t>愛知県</t>
        </is>
      </c>
      <c r="B148" s="7" t="n"/>
      <c r="G148" s="9" t="inlineStr">
        <is>
          <t>リハビリテーション科／理学療法士</t>
        </is>
      </c>
      <c r="H148" s="9" t="n">
        <v>149</v>
      </c>
    </row>
    <row r="149">
      <c r="A149" s="6" t="inlineStr">
        <is>
          <t>埼玉県</t>
        </is>
      </c>
      <c r="B149" s="6" t="n"/>
      <c r="G149" s="9" t="inlineStr">
        <is>
          <t>リハビリテーション科／理学療法士</t>
        </is>
      </c>
      <c r="H149" s="9" t="n">
        <v>149</v>
      </c>
    </row>
    <row r="150">
      <c r="A150" s="7" t="inlineStr">
        <is>
          <t>東京都</t>
        </is>
      </c>
      <c r="B150" s="7" t="n"/>
      <c r="G150" s="23" t="inlineStr">
        <is>
          <t>リハビリテーション科/理学療法士</t>
        </is>
      </c>
      <c r="H150" s="23" t="n">
        <v>147</v>
      </c>
    </row>
    <row r="151">
      <c r="A151" s="6" t="inlineStr">
        <is>
          <t>新潟県</t>
        </is>
      </c>
      <c r="B151" s="6" t="n"/>
      <c r="G151" s="9" t="inlineStr">
        <is>
          <t>リハビリテーション科/理学療法士</t>
        </is>
      </c>
      <c r="H151" s="23" t="n">
        <v>146</v>
      </c>
    </row>
    <row r="152">
      <c r="A152" s="7" t="inlineStr">
        <is>
          <t>佐賀県</t>
        </is>
      </c>
      <c r="B152" s="7" t="n"/>
      <c r="G152" s="23" t="inlineStr">
        <is>
          <t>リハビリテーション科/理学療法士</t>
        </is>
      </c>
      <c r="H152" s="9" t="n">
        <v>146</v>
      </c>
    </row>
    <row r="153">
      <c r="A153" s="6" t="inlineStr">
        <is>
          <t>山梨県</t>
        </is>
      </c>
      <c r="B153" s="6" t="n"/>
      <c r="G153" s="9" t="inlineStr">
        <is>
          <t>リハビリテーション科作業療法主任</t>
        </is>
      </c>
      <c r="H153" s="23" t="n">
        <v>146</v>
      </c>
    </row>
    <row r="154">
      <c r="A154" s="7" t="inlineStr">
        <is>
          <t>大阪府</t>
        </is>
      </c>
      <c r="B154" s="7" t="n"/>
      <c r="G154" s="9" t="inlineStr">
        <is>
          <t>リハビリテーション科診療部／理学療法士</t>
        </is>
      </c>
      <c r="H154" s="23" t="n">
        <v>146</v>
      </c>
    </row>
    <row r="155">
      <c r="A155" s="6" t="inlineStr">
        <is>
          <t>静岡県</t>
        </is>
      </c>
      <c r="B155" s="6" t="n"/>
      <c r="G155" s="9" t="inlineStr">
        <is>
          <t>リハビリテーション科診療部/理学療法士</t>
        </is>
      </c>
      <c r="H155" s="23" t="n">
        <v>145</v>
      </c>
    </row>
    <row r="156">
      <c r="A156" s="7" t="inlineStr">
        <is>
          <t>京都府</t>
        </is>
      </c>
      <c r="B156" s="7" t="n"/>
      <c r="G156" s="9" t="inlineStr">
        <is>
          <t>リハビリテーション科部　理学療法士</t>
        </is>
      </c>
      <c r="H156" s="9" t="n">
        <v>143</v>
      </c>
    </row>
    <row r="157">
      <c r="A157" s="6" t="inlineStr">
        <is>
          <t>愛知県</t>
        </is>
      </c>
      <c r="B157" s="6" t="n"/>
      <c r="G157" s="23" t="inlineStr">
        <is>
          <t>リハビリテーション科理学療法士</t>
        </is>
      </c>
      <c r="H157" s="23" t="n">
        <v>143</v>
      </c>
    </row>
    <row r="158">
      <c r="A158" s="7" t="inlineStr">
        <is>
          <t>宮城県</t>
        </is>
      </c>
      <c r="B158" s="7" t="n"/>
      <c r="G158" s="9" t="inlineStr">
        <is>
          <t>リハビリテーション課　理学療法士</t>
        </is>
      </c>
      <c r="H158" s="23" t="n">
        <v>142</v>
      </c>
    </row>
    <row r="159">
      <c r="A159" s="6" t="inlineStr">
        <is>
          <t>新潟県</t>
        </is>
      </c>
      <c r="B159" s="6" t="n"/>
      <c r="G159" s="9" t="inlineStr">
        <is>
          <t>リハビリテーション課/作業療法士</t>
        </is>
      </c>
      <c r="H159" s="9" t="n">
        <v>142</v>
      </c>
    </row>
    <row r="160">
      <c r="A160" s="7" t="inlineStr">
        <is>
          <t>青森県</t>
        </is>
      </c>
      <c r="B160" s="7" t="n"/>
      <c r="G160" s="9" t="inlineStr">
        <is>
          <t>リハビリテーション課/理学療法士</t>
        </is>
      </c>
      <c r="H160" s="23" t="n">
        <v>140</v>
      </c>
    </row>
    <row r="161">
      <c r="A161" s="6" t="inlineStr">
        <is>
          <t>青森県</t>
        </is>
      </c>
      <c r="B161" s="6" t="n"/>
      <c r="G161" s="9" t="inlineStr">
        <is>
          <t>リハビリテーション課/理学療法士</t>
        </is>
      </c>
      <c r="H161" s="23" t="n">
        <v>140</v>
      </c>
    </row>
    <row r="162">
      <c r="A162" s="7" t="inlineStr">
        <is>
          <t>岡山県</t>
        </is>
      </c>
      <c r="B162" s="7" t="n"/>
      <c r="G162" s="23" t="inlineStr">
        <is>
          <t>リハビリテーション課／理学療法士</t>
        </is>
      </c>
      <c r="H162" s="9" t="n">
        <v>140</v>
      </c>
    </row>
    <row r="163">
      <c r="A163" s="6" t="inlineStr">
        <is>
          <t>三重県</t>
        </is>
      </c>
      <c r="B163" s="6" t="n"/>
      <c r="G163" s="9" t="inlineStr">
        <is>
          <t>リハビリテーション課／理学療法士</t>
        </is>
      </c>
      <c r="H163" s="9" t="n">
        <v>138</v>
      </c>
    </row>
    <row r="164">
      <c r="A164" s="7" t="inlineStr">
        <is>
          <t>島根県</t>
        </is>
      </c>
      <c r="B164" s="7" t="n"/>
      <c r="G164" s="9" t="inlineStr">
        <is>
          <t>リハビリテーション課/理学療法士</t>
        </is>
      </c>
      <c r="H164" s="23" t="n">
        <v>138</v>
      </c>
    </row>
    <row r="165">
      <c r="A165" s="6" t="inlineStr">
        <is>
          <t>滋賀県</t>
        </is>
      </c>
      <c r="B165" s="6" t="n"/>
      <c r="G165" s="23" t="inlineStr">
        <is>
          <t>リハビリテーション課/理学療法士</t>
        </is>
      </c>
      <c r="H165" s="9" t="n">
        <v>138</v>
      </c>
    </row>
    <row r="166">
      <c r="A166" s="7" t="inlineStr">
        <is>
          <t>北海道</t>
        </is>
      </c>
      <c r="B166" s="7" t="n"/>
      <c r="G166" s="9" t="inlineStr">
        <is>
          <t>リハビリテーション課/理学療法士</t>
        </is>
      </c>
      <c r="H166" s="23" t="n">
        <v>137</v>
      </c>
    </row>
    <row r="167">
      <c r="A167" s="6" t="inlineStr">
        <is>
          <t>大阪府</t>
        </is>
      </c>
      <c r="B167" s="6" t="n"/>
      <c r="G167" s="9" t="inlineStr">
        <is>
          <t>リハビリテーション課／理学療法士</t>
        </is>
      </c>
      <c r="H167" s="9" t="n">
        <v>136</v>
      </c>
    </row>
    <row r="168">
      <c r="A168" s="7" t="inlineStr">
        <is>
          <t>大阪府</t>
        </is>
      </c>
      <c r="B168" s="7" t="n"/>
      <c r="G168" s="23" t="inlineStr">
        <is>
          <t>リハビリテーション課／理学療法士</t>
        </is>
      </c>
      <c r="H168" s="9" t="n">
        <v>136</v>
      </c>
    </row>
    <row r="169">
      <c r="A169" s="6" t="inlineStr">
        <is>
          <t>京都府</t>
        </is>
      </c>
      <c r="B169" s="6" t="n"/>
      <c r="G169" s="9" t="inlineStr">
        <is>
          <t>ﾘﾊﾋﾞﾘﾃｰｼｮﾝ課/理学療法士</t>
        </is>
      </c>
      <c r="H169" s="23" t="n">
        <v>136</v>
      </c>
    </row>
    <row r="170">
      <c r="A170" s="7" t="inlineStr">
        <is>
          <t>静岡県</t>
        </is>
      </c>
      <c r="B170" s="7" t="n"/>
      <c r="G170" s="23" t="inlineStr">
        <is>
          <t>リハビリテーション課／理学療法士</t>
        </is>
      </c>
      <c r="H170" s="9" t="n">
        <v>136</v>
      </c>
    </row>
    <row r="171">
      <c r="A171" s="6" t="inlineStr">
        <is>
          <t>宮城県</t>
        </is>
      </c>
      <c r="B171" s="6" t="n"/>
      <c r="G171" s="9" t="inlineStr">
        <is>
          <t>リハビリテーション学科　理学療法士</t>
        </is>
      </c>
      <c r="H171" s="9" t="n">
        <v>135</v>
      </c>
    </row>
    <row r="172">
      <c r="A172" s="7" t="inlineStr">
        <is>
          <t>茨城県</t>
        </is>
      </c>
      <c r="B172" s="7" t="n"/>
      <c r="G172" s="23" t="inlineStr">
        <is>
          <t>リハビリテーション技術科</t>
        </is>
      </c>
      <c r="H172" s="9" t="n">
        <v>135</v>
      </c>
    </row>
    <row r="173">
      <c r="A173" s="6" t="inlineStr">
        <is>
          <t>沖縄県</t>
        </is>
      </c>
      <c r="B173" s="6" t="n"/>
      <c r="G173" s="23" t="inlineStr">
        <is>
          <t>リハビリテーション技術科</t>
        </is>
      </c>
      <c r="H173" s="9" t="n">
        <v>135</v>
      </c>
    </row>
    <row r="174">
      <c r="A174" s="7" t="inlineStr">
        <is>
          <t>岐阜県</t>
        </is>
      </c>
      <c r="B174" s="7" t="n"/>
      <c r="G174" s="23" t="inlineStr">
        <is>
          <t>リハビリテーション技術科</t>
        </is>
      </c>
      <c r="H174" s="23" t="n">
        <v>135</v>
      </c>
    </row>
    <row r="175">
      <c r="A175" s="6" t="inlineStr">
        <is>
          <t>千葉県</t>
        </is>
      </c>
      <c r="B175" s="6" t="n"/>
      <c r="G175" s="9" t="inlineStr">
        <is>
          <t>リハビリテーション技術科/理学療法士</t>
        </is>
      </c>
      <c r="H175" s="23" t="n">
        <v>132</v>
      </c>
    </row>
    <row r="176">
      <c r="A176" s="7" t="inlineStr">
        <is>
          <t>福島県</t>
        </is>
      </c>
      <c r="B176" s="7" t="n"/>
      <c r="G176" s="23" t="inlineStr">
        <is>
          <t>リハビリテーション技術科/理学療法士</t>
        </is>
      </c>
      <c r="H176" s="9" t="n">
        <v>131</v>
      </c>
    </row>
    <row r="177">
      <c r="A177" s="6" t="inlineStr">
        <is>
          <t>愛知県</t>
        </is>
      </c>
      <c r="B177" s="6" t="n"/>
      <c r="G177" s="9" t="inlineStr">
        <is>
          <t>リハビリテーション技術科／理学療法士</t>
        </is>
      </c>
      <c r="H177" s="9" t="n">
        <v>131</v>
      </c>
    </row>
    <row r="178">
      <c r="A178" s="7" t="inlineStr">
        <is>
          <t>大阪府</t>
        </is>
      </c>
      <c r="B178" s="7" t="n"/>
      <c r="G178" s="9" t="inlineStr">
        <is>
          <t>リハビリテーション技術科/理学療法士</t>
        </is>
      </c>
      <c r="H178" s="23" t="n">
        <v>130</v>
      </c>
    </row>
    <row r="179">
      <c r="A179" s="6" t="inlineStr">
        <is>
          <t>石川県</t>
        </is>
      </c>
      <c r="B179" s="6" t="n"/>
      <c r="G179" s="23" t="inlineStr">
        <is>
          <t>リハビリテーション技術科/理学療法士</t>
        </is>
      </c>
      <c r="H179" s="9" t="n">
        <v>129</v>
      </c>
    </row>
    <row r="180">
      <c r="A180" s="7" t="inlineStr">
        <is>
          <t>佐賀県</t>
        </is>
      </c>
      <c r="B180" s="7" t="n"/>
      <c r="G180" s="23" t="inlineStr">
        <is>
          <t>リハビリテーション技術科/理学療法士</t>
        </is>
      </c>
      <c r="H180" s="9" t="n">
        <v>128</v>
      </c>
    </row>
    <row r="181">
      <c r="A181" s="6" t="inlineStr">
        <is>
          <t>大阪府</t>
        </is>
      </c>
      <c r="B181" s="6" t="n"/>
      <c r="G181" s="23" t="inlineStr">
        <is>
          <t>リハビリテーション技術科／理学療法士</t>
        </is>
      </c>
      <c r="H181" s="23" t="n">
        <v>127</v>
      </c>
    </row>
    <row r="182">
      <c r="A182" s="7" t="inlineStr">
        <is>
          <t>鹿児島県</t>
        </is>
      </c>
      <c r="B182" s="7" t="n"/>
      <c r="G182" s="23" t="inlineStr">
        <is>
          <t>リハビリテーション技術科/理学療法士</t>
        </is>
      </c>
      <c r="H182" s="23" t="n">
        <v>126</v>
      </c>
    </row>
    <row r="183">
      <c r="A183" s="6" t="inlineStr">
        <is>
          <t>北海道</t>
        </is>
      </c>
      <c r="B183" s="6" t="n"/>
      <c r="G183" s="9" t="inlineStr">
        <is>
          <t>リハビリテーション技術科/理学療法士</t>
        </is>
      </c>
      <c r="H183" s="9" t="n">
        <v>126</v>
      </c>
    </row>
    <row r="184">
      <c r="A184" s="7" t="inlineStr">
        <is>
          <t>京都府</t>
        </is>
      </c>
      <c r="B184" s="7" t="n"/>
      <c r="G184" s="23" t="inlineStr">
        <is>
          <t>リハビリテーション技術科/理学療法士</t>
        </is>
      </c>
      <c r="H184" s="23" t="n">
        <v>125</v>
      </c>
    </row>
    <row r="185">
      <c r="A185" s="6" t="inlineStr">
        <is>
          <t>兵庫県</t>
        </is>
      </c>
      <c r="B185" s="6" t="n"/>
      <c r="G185" s="23" t="inlineStr">
        <is>
          <t>リハビリテーション技術科/理学療法士</t>
        </is>
      </c>
      <c r="H185" s="9" t="n">
        <v>124</v>
      </c>
    </row>
    <row r="186">
      <c r="A186" s="7" t="inlineStr">
        <is>
          <t>京都府</t>
        </is>
      </c>
      <c r="B186" s="7" t="n"/>
      <c r="G186" s="23" t="inlineStr">
        <is>
          <t>リハビリテーション技術科／理学療法士</t>
        </is>
      </c>
      <c r="H186" s="23" t="n">
        <v>124</v>
      </c>
    </row>
    <row r="187">
      <c r="A187" s="6" t="inlineStr">
        <is>
          <t>茨城県</t>
        </is>
      </c>
      <c r="B187" s="6" t="n"/>
      <c r="G187" s="23" t="inlineStr">
        <is>
          <t>リハビリテーション技術課／理学療法士</t>
        </is>
      </c>
      <c r="H187" s="23" t="n">
        <v>124</v>
      </c>
    </row>
    <row r="188">
      <c r="A188" s="7" t="inlineStr">
        <is>
          <t>福岡県</t>
        </is>
      </c>
      <c r="B188" s="7" t="n"/>
      <c r="G188" s="23" t="inlineStr">
        <is>
          <t>リハビリテーション技術室/理学療法士</t>
        </is>
      </c>
      <c r="H188" s="9" t="n">
        <v>124</v>
      </c>
    </row>
    <row r="189">
      <c r="A189" s="6" t="inlineStr">
        <is>
          <t>広島県</t>
        </is>
      </c>
      <c r="B189" s="6" t="n"/>
      <c r="G189" s="9" t="inlineStr">
        <is>
          <t>リハビリテーション技術部</t>
        </is>
      </c>
      <c r="H189" s="9" t="n">
        <v>124</v>
      </c>
    </row>
    <row r="190">
      <c r="A190" s="7" t="inlineStr">
        <is>
          <t>栃木県</t>
        </is>
      </c>
      <c r="B190" s="7" t="n"/>
      <c r="G190" s="23" t="inlineStr">
        <is>
          <t>リハビリテーション技術部/理学療法士</t>
        </is>
      </c>
      <c r="H190" s="9" t="n">
        <v>124</v>
      </c>
    </row>
    <row r="191">
      <c r="A191" s="6" t="inlineStr">
        <is>
          <t>岐阜県</t>
        </is>
      </c>
      <c r="B191" s="6" t="n"/>
      <c r="G191" s="9" t="inlineStr">
        <is>
          <t>リハビリテーション技術部/理学療法士</t>
        </is>
      </c>
      <c r="H191" s="23" t="n">
        <v>124</v>
      </c>
    </row>
    <row r="192">
      <c r="A192" s="7" t="inlineStr">
        <is>
          <t>三重県</t>
        </is>
      </c>
      <c r="B192" s="7" t="n"/>
      <c r="G192" s="9" t="inlineStr">
        <is>
          <t>リハビリテーション技術部/理学療法士</t>
        </is>
      </c>
      <c r="H192" s="9" t="n">
        <v>123</v>
      </c>
    </row>
    <row r="193">
      <c r="A193" s="6" t="inlineStr">
        <is>
          <t>新潟県</t>
        </is>
      </c>
      <c r="B193" s="6" t="n"/>
      <c r="G193" s="9" t="inlineStr">
        <is>
          <t>リハビリテーション室</t>
        </is>
      </c>
      <c r="H193" s="23" t="n">
        <v>122</v>
      </c>
    </row>
    <row r="194">
      <c r="A194" s="7" t="inlineStr">
        <is>
          <t>沖縄県</t>
        </is>
      </c>
      <c r="B194" s="7" t="n"/>
      <c r="G194" s="23" t="inlineStr">
        <is>
          <t>リハビリテーション室</t>
        </is>
      </c>
      <c r="H194" s="23" t="n">
        <v>122</v>
      </c>
    </row>
    <row r="195">
      <c r="A195" s="6" t="inlineStr">
        <is>
          <t>北海道</t>
        </is>
      </c>
      <c r="B195" s="6" t="n"/>
      <c r="G195" s="9" t="inlineStr">
        <is>
          <t>リハビリテーション室　作業療法士</t>
        </is>
      </c>
      <c r="H195" s="23" t="n">
        <v>121</v>
      </c>
    </row>
    <row r="196">
      <c r="A196" s="7" t="inlineStr">
        <is>
          <t>広島県</t>
        </is>
      </c>
      <c r="B196" s="7" t="n"/>
      <c r="G196" s="23" t="inlineStr">
        <is>
          <t>リハビリテーション室　理学療法士</t>
        </is>
      </c>
      <c r="H196" s="9" t="n">
        <v>120</v>
      </c>
    </row>
    <row r="197">
      <c r="A197" s="6" t="inlineStr">
        <is>
          <t>徳島県</t>
        </is>
      </c>
      <c r="B197" s="6" t="n"/>
      <c r="G197" s="23" t="inlineStr">
        <is>
          <t>リハビリテーション室　理学療法士</t>
        </is>
      </c>
      <c r="H197" s="23" t="n">
        <v>120</v>
      </c>
    </row>
    <row r="198">
      <c r="A198" s="7" t="inlineStr">
        <is>
          <t>埼玉県</t>
        </is>
      </c>
      <c r="B198" s="7" t="n"/>
      <c r="G198" s="9" t="inlineStr">
        <is>
          <t>リハビリテーション室　理学療法士</t>
        </is>
      </c>
      <c r="H198" s="23" t="n">
        <v>120</v>
      </c>
    </row>
    <row r="199">
      <c r="A199" s="6" t="inlineStr">
        <is>
          <t>東京都</t>
        </is>
      </c>
      <c r="B199" s="6" t="n"/>
      <c r="G199" s="9" t="inlineStr">
        <is>
          <t>リハビリテーション室/作業療法士</t>
        </is>
      </c>
      <c r="H199" s="9" t="n">
        <v>120</v>
      </c>
    </row>
    <row r="200">
      <c r="A200" s="7" t="inlineStr">
        <is>
          <t>熊本県</t>
        </is>
      </c>
      <c r="B200" s="7" t="n"/>
      <c r="G200" s="23" t="inlineStr">
        <is>
          <t>リハビリテーション室/理学療法士</t>
        </is>
      </c>
      <c r="H200" s="23" t="n">
        <v>119</v>
      </c>
    </row>
    <row r="201">
      <c r="A201" s="6" t="inlineStr">
        <is>
          <t>長崎県</t>
        </is>
      </c>
      <c r="B201" s="6" t="n"/>
      <c r="G201" s="9" t="inlineStr">
        <is>
          <t>リハビリテーション室/理学療法士</t>
        </is>
      </c>
      <c r="H201" s="9" t="n">
        <v>119</v>
      </c>
    </row>
    <row r="202">
      <c r="A202" s="7" t="inlineStr">
        <is>
          <t>徳島県</t>
        </is>
      </c>
      <c r="B202" s="7" t="n"/>
      <c r="G202" s="23" t="inlineStr">
        <is>
          <t>リハビリテーション室/理学療法士</t>
        </is>
      </c>
      <c r="H202" s="9" t="n">
        <v>118</v>
      </c>
    </row>
    <row r="203">
      <c r="A203" s="6" t="inlineStr">
        <is>
          <t>大阪府</t>
        </is>
      </c>
      <c r="B203" s="6" t="n"/>
      <c r="G203" s="9" t="inlineStr">
        <is>
          <t>リハビリテーション室／理学療法士</t>
        </is>
      </c>
      <c r="H203" s="9" t="n">
        <v>116</v>
      </c>
    </row>
    <row r="204">
      <c r="A204" s="7" t="inlineStr">
        <is>
          <t>兵庫県</t>
        </is>
      </c>
      <c r="B204" s="7" t="n"/>
      <c r="G204" s="9" t="inlineStr">
        <is>
          <t>リハビリテーション室／理学療法士</t>
        </is>
      </c>
      <c r="H204" s="9" t="n">
        <v>116</v>
      </c>
    </row>
    <row r="205">
      <c r="A205" s="6" t="inlineStr">
        <is>
          <t>千葉県</t>
        </is>
      </c>
      <c r="B205" s="6" t="n"/>
      <c r="G205" s="23" t="inlineStr">
        <is>
          <t>リハビリテーション室/理学療法士</t>
        </is>
      </c>
      <c r="H205" s="23" t="n">
        <v>116</v>
      </c>
    </row>
    <row r="206">
      <c r="A206" s="7" t="inlineStr">
        <is>
          <t>大阪府</t>
        </is>
      </c>
      <c r="B206" s="7" t="n"/>
      <c r="G206" s="9" t="inlineStr">
        <is>
          <t>リハビリテーション室/理学療法士</t>
        </is>
      </c>
      <c r="H206" s="9" t="n">
        <v>114</v>
      </c>
    </row>
    <row r="207">
      <c r="A207" s="6" t="inlineStr">
        <is>
          <t>奈良県</t>
        </is>
      </c>
      <c r="B207" s="6" t="n"/>
      <c r="G207" s="23" t="inlineStr">
        <is>
          <t>リハビリテーション室／理学療法士</t>
        </is>
      </c>
      <c r="H207" s="23" t="n">
        <v>114</v>
      </c>
    </row>
    <row r="208">
      <c r="A208" s="7" t="inlineStr">
        <is>
          <t>滋賀県</t>
        </is>
      </c>
      <c r="B208" s="7" t="n"/>
      <c r="G208" s="23" t="inlineStr">
        <is>
          <t>リハビリテーション室／理学療法士</t>
        </is>
      </c>
      <c r="H208" s="9" t="n">
        <v>113</v>
      </c>
    </row>
    <row r="209">
      <c r="A209" s="6" t="inlineStr">
        <is>
          <t>静岡県</t>
        </is>
      </c>
      <c r="B209" s="6" t="n"/>
      <c r="G209" s="23" t="inlineStr">
        <is>
          <t>リハビリテーション室/理学療法士</t>
        </is>
      </c>
      <c r="H209" s="9" t="n">
        <v>112</v>
      </c>
    </row>
    <row r="210">
      <c r="A210" s="7" t="inlineStr">
        <is>
          <t>福島県</t>
        </is>
      </c>
      <c r="B210" s="7" t="n"/>
      <c r="G210" s="23" t="inlineStr">
        <is>
          <t>リハビリテーション室/理学療法士</t>
        </is>
      </c>
      <c r="H210" s="9" t="n">
        <v>112</v>
      </c>
    </row>
    <row r="211">
      <c r="A211" s="6" t="inlineStr">
        <is>
          <t>長崎県</t>
        </is>
      </c>
      <c r="B211" s="6" t="n"/>
      <c r="G211" s="23" t="inlineStr">
        <is>
          <t>リハビリテーション室/理学療法士</t>
        </is>
      </c>
      <c r="H211" s="9" t="n">
        <v>111</v>
      </c>
    </row>
    <row r="212">
      <c r="A212" s="7" t="inlineStr">
        <is>
          <t>千葉県</t>
        </is>
      </c>
      <c r="B212" s="7" t="n"/>
      <c r="G212" s="9" t="inlineStr">
        <is>
          <t>リハビリテーション室/理学療法士</t>
        </is>
      </c>
      <c r="H212" s="23" t="n">
        <v>110</v>
      </c>
    </row>
    <row r="213">
      <c r="A213" s="6" t="inlineStr">
        <is>
          <t>熊本県</t>
        </is>
      </c>
      <c r="B213" s="6" t="n"/>
      <c r="G213" s="9" t="inlineStr">
        <is>
          <t>リハビリテーション室／理学療法士</t>
        </is>
      </c>
      <c r="H213" s="23" t="n">
        <v>110</v>
      </c>
    </row>
    <row r="214">
      <c r="A214" s="7" t="inlineStr">
        <is>
          <t>秋田県</t>
        </is>
      </c>
      <c r="B214" s="7" t="n"/>
      <c r="G214" s="23" t="inlineStr">
        <is>
          <t>リハビリテーション室・理学療法士</t>
        </is>
      </c>
      <c r="H214" s="23" t="n">
        <v>110</v>
      </c>
    </row>
    <row r="215">
      <c r="A215" s="6" t="inlineStr">
        <is>
          <t>長崎県</t>
        </is>
      </c>
      <c r="B215" s="6" t="n"/>
      <c r="G215" s="23" t="inlineStr">
        <is>
          <t>リハビリテーション部</t>
        </is>
      </c>
      <c r="H215" s="9" t="n">
        <v>110</v>
      </c>
    </row>
    <row r="216">
      <c r="A216" s="7" t="inlineStr">
        <is>
          <t>茨城県</t>
        </is>
      </c>
      <c r="B216" s="7" t="n"/>
      <c r="G216" s="9" t="inlineStr">
        <is>
          <t>リハビリテーション部</t>
        </is>
      </c>
      <c r="H216" s="23" t="n">
        <v>108</v>
      </c>
    </row>
    <row r="217">
      <c r="A217" s="6" t="inlineStr">
        <is>
          <t>広島県</t>
        </is>
      </c>
      <c r="B217" s="6" t="n"/>
      <c r="G217" s="23" t="inlineStr">
        <is>
          <t>リハビリテーション部</t>
        </is>
      </c>
      <c r="H217" s="9" t="n">
        <v>107</v>
      </c>
    </row>
    <row r="218">
      <c r="A218" s="7" t="inlineStr">
        <is>
          <t>福岡県</t>
        </is>
      </c>
      <c r="B218" s="7" t="n"/>
      <c r="G218" s="9" t="inlineStr">
        <is>
          <t xml:space="preserve">リハビリテーション部　作業療法士　</t>
        </is>
      </c>
      <c r="H218" s="9" t="n">
        <v>106</v>
      </c>
    </row>
    <row r="219">
      <c r="A219" s="6" t="inlineStr">
        <is>
          <t>愛知県</t>
        </is>
      </c>
      <c r="B219" s="6" t="n"/>
      <c r="G219" s="23" t="inlineStr">
        <is>
          <t>リハビリテーション部　理学療法科/理学療法士</t>
        </is>
      </c>
      <c r="H219" s="9" t="n">
        <v>106</v>
      </c>
    </row>
    <row r="220">
      <c r="A220" s="7" t="inlineStr">
        <is>
          <t>兵庫県</t>
        </is>
      </c>
      <c r="B220" s="7" t="n"/>
      <c r="G220" s="9" t="inlineStr">
        <is>
          <t>リハビリテーション部　理学療法課／理学療法士会</t>
        </is>
      </c>
      <c r="H220" s="9" t="n">
        <v>106</v>
      </c>
    </row>
    <row r="221">
      <c r="A221" s="6" t="inlineStr">
        <is>
          <t>京都府</t>
        </is>
      </c>
      <c r="B221" s="6" t="n"/>
      <c r="G221" s="23" t="inlineStr">
        <is>
          <t>リハビリテーション部　理学療法士</t>
        </is>
      </c>
      <c r="H221" s="9" t="n">
        <v>105</v>
      </c>
    </row>
    <row r="222">
      <c r="A222" s="7" t="inlineStr">
        <is>
          <t>富山県</t>
        </is>
      </c>
      <c r="B222" s="7" t="n"/>
      <c r="G222" s="23" t="inlineStr">
        <is>
          <t>リハビリテーション部　理学療法士</t>
        </is>
      </c>
      <c r="H222" s="23" t="n">
        <v>104</v>
      </c>
    </row>
    <row r="223">
      <c r="A223" s="6" t="inlineStr">
        <is>
          <t>埼玉県</t>
        </is>
      </c>
      <c r="B223" s="6" t="n"/>
      <c r="G223" s="9" t="inlineStr">
        <is>
          <t>リハビリテーション部/作業療法士</t>
        </is>
      </c>
      <c r="H223" s="23" t="n">
        <v>103</v>
      </c>
    </row>
    <row r="224">
      <c r="A224" s="7" t="inlineStr">
        <is>
          <t>北海道</t>
        </is>
      </c>
      <c r="B224" s="7" t="n"/>
      <c r="G224" s="9" t="inlineStr">
        <is>
          <t>リハビリテーション部／作業療法士</t>
        </is>
      </c>
      <c r="H224" s="9" t="n">
        <v>102</v>
      </c>
    </row>
    <row r="225">
      <c r="A225" s="6" t="inlineStr">
        <is>
          <t>広島県</t>
        </is>
      </c>
      <c r="B225" s="6" t="n"/>
      <c r="G225" s="23" t="inlineStr">
        <is>
          <t>リハビリテーション部/部長</t>
        </is>
      </c>
      <c r="H225" s="23" t="n">
        <v>101</v>
      </c>
    </row>
    <row r="226">
      <c r="A226" s="7" t="inlineStr">
        <is>
          <t>富山県</t>
        </is>
      </c>
      <c r="B226" s="7" t="n"/>
      <c r="G226" s="9" t="inlineStr">
        <is>
          <t>リハビリテーション部/理学療法士</t>
        </is>
      </c>
      <c r="H226" s="9" t="n">
        <v>100</v>
      </c>
    </row>
    <row r="227">
      <c r="A227" s="6" t="inlineStr">
        <is>
          <t>愛知県</t>
        </is>
      </c>
      <c r="B227" s="6" t="n"/>
      <c r="G227" s="9" t="inlineStr">
        <is>
          <t>リハビリテーション部/理学療法士</t>
        </is>
      </c>
      <c r="H227" s="9" t="n">
        <v>100</v>
      </c>
    </row>
    <row r="228">
      <c r="A228" s="7" t="inlineStr">
        <is>
          <t>愛知県</t>
        </is>
      </c>
      <c r="B228" s="7" t="n"/>
      <c r="G228" s="23" t="inlineStr">
        <is>
          <t>リハビリテーション部／理学療法士</t>
        </is>
      </c>
      <c r="H228" s="9" t="n">
        <v>100</v>
      </c>
    </row>
    <row r="229">
      <c r="A229" s="6" t="inlineStr">
        <is>
          <t>長崎県</t>
        </is>
      </c>
      <c r="B229" s="6" t="n"/>
      <c r="G229" s="9" t="inlineStr">
        <is>
          <t>リハビリテーション部/理学療法士</t>
        </is>
      </c>
      <c r="H229" s="9" t="n">
        <v>100</v>
      </c>
    </row>
    <row r="230">
      <c r="A230" s="7" t="inlineStr">
        <is>
          <t>埼玉県</t>
        </is>
      </c>
      <c r="B230" s="7" t="n"/>
      <c r="G230" s="23" t="inlineStr">
        <is>
          <t>リハビリテーション部／理学療法士</t>
        </is>
      </c>
      <c r="H230" s="23" t="n">
        <v>100</v>
      </c>
    </row>
    <row r="231">
      <c r="A231" s="6" t="inlineStr">
        <is>
          <t>大阪府</t>
        </is>
      </c>
      <c r="B231" s="6" t="n"/>
      <c r="G231" s="9" t="inlineStr">
        <is>
          <t>リハビリテーション部/理学療法士</t>
        </is>
      </c>
      <c r="H231" s="9" t="n">
        <v>100</v>
      </c>
    </row>
    <row r="232">
      <c r="A232" s="7" t="inlineStr">
        <is>
          <t>宮崎県</t>
        </is>
      </c>
      <c r="B232" s="7" t="n"/>
      <c r="G232" s="9" t="inlineStr">
        <is>
          <t>リハビリテーション部/理学療法士</t>
        </is>
      </c>
      <c r="H232" s="9" t="n">
        <v>100</v>
      </c>
    </row>
    <row r="233">
      <c r="A233" s="6" t="inlineStr">
        <is>
          <t>神奈川県</t>
        </is>
      </c>
      <c r="B233" s="6" t="n"/>
      <c r="G233" s="9" t="inlineStr">
        <is>
          <t>リハビリテーション部／理学療法士</t>
        </is>
      </c>
      <c r="H233" s="23" t="n">
        <v>99</v>
      </c>
    </row>
    <row r="234">
      <c r="A234" s="7" t="inlineStr">
        <is>
          <t>広島県</t>
        </is>
      </c>
      <c r="B234" s="7" t="n"/>
      <c r="G234" s="23" t="inlineStr">
        <is>
          <t>リハビリテーション部/理学療法士</t>
        </is>
      </c>
      <c r="H234" s="9" t="n">
        <v>99</v>
      </c>
    </row>
    <row r="235">
      <c r="A235" s="6" t="inlineStr">
        <is>
          <t>静岡県</t>
        </is>
      </c>
      <c r="B235" s="6" t="n"/>
      <c r="G235" s="23" t="inlineStr">
        <is>
          <t>リハビリテーション部／理学療法士</t>
        </is>
      </c>
      <c r="H235" s="23" t="n">
        <v>98</v>
      </c>
    </row>
    <row r="236">
      <c r="A236" s="7" t="inlineStr">
        <is>
          <t>東京都</t>
        </is>
      </c>
      <c r="B236" s="7" t="n"/>
      <c r="G236" s="9" t="inlineStr">
        <is>
          <t>リハビリテーション部/理学療法士</t>
        </is>
      </c>
      <c r="H236" s="23" t="n">
        <v>98</v>
      </c>
    </row>
    <row r="237">
      <c r="A237" s="6" t="inlineStr">
        <is>
          <t>岐阜県</t>
        </is>
      </c>
      <c r="B237" s="6" t="n"/>
      <c r="G237" s="9" t="inlineStr">
        <is>
          <t>リハビリテーション部/理学療法士</t>
        </is>
      </c>
      <c r="H237" s="23" t="n">
        <v>98</v>
      </c>
    </row>
    <row r="238">
      <c r="A238" s="7" t="inlineStr">
        <is>
          <t>大阪府</t>
        </is>
      </c>
      <c r="B238" s="7" t="n"/>
      <c r="G238" s="9" t="inlineStr">
        <is>
          <t>リハビリテーション部/理学療法士</t>
        </is>
      </c>
      <c r="H238" s="9" t="n">
        <v>97</v>
      </c>
    </row>
    <row r="239">
      <c r="A239" s="6" t="inlineStr">
        <is>
          <t>広島県</t>
        </is>
      </c>
      <c r="B239" s="6" t="n"/>
      <c r="G239" s="23" t="inlineStr">
        <is>
          <t>リハビリテーション部/理学療法士</t>
        </is>
      </c>
      <c r="H239" s="9" t="n">
        <v>97</v>
      </c>
    </row>
    <row r="240">
      <c r="A240" s="7" t="inlineStr">
        <is>
          <t>大阪府</t>
        </is>
      </c>
      <c r="B240" s="7" t="n"/>
      <c r="G240" s="9" t="inlineStr">
        <is>
          <t>リハビリテーション部/理学療法士</t>
        </is>
      </c>
      <c r="H240" s="23" t="n">
        <v>96</v>
      </c>
    </row>
    <row r="241">
      <c r="A241" s="6" t="inlineStr">
        <is>
          <t>三重県</t>
        </is>
      </c>
      <c r="B241" s="6" t="n"/>
      <c r="G241" s="23" t="inlineStr">
        <is>
          <t>リハビリテーション部／理学療法士</t>
        </is>
      </c>
      <c r="H241" s="23" t="n">
        <v>96</v>
      </c>
    </row>
    <row r="242">
      <c r="A242" s="7" t="inlineStr">
        <is>
          <t>神奈川県</t>
        </is>
      </c>
      <c r="B242" s="7" t="n"/>
      <c r="G242" s="9" t="inlineStr">
        <is>
          <t>リハビリテーション部／理学療法士</t>
        </is>
      </c>
      <c r="H242" s="9" t="n">
        <v>96</v>
      </c>
    </row>
    <row r="243">
      <c r="A243" s="6" t="inlineStr">
        <is>
          <t>北海道</t>
        </is>
      </c>
      <c r="B243" s="6" t="n"/>
      <c r="G243" s="9" t="inlineStr">
        <is>
          <t>リハビリテーション部／理学療法士</t>
        </is>
      </c>
      <c r="H243" s="23" t="n">
        <v>92</v>
      </c>
    </row>
    <row r="244">
      <c r="A244" s="7" t="inlineStr">
        <is>
          <t>兵庫県</t>
        </is>
      </c>
      <c r="B244" s="7" t="n"/>
      <c r="G244" s="9" t="inlineStr">
        <is>
          <t>リハビリテーション部／理学療法士</t>
        </is>
      </c>
      <c r="H244" s="9" t="n">
        <v>91</v>
      </c>
    </row>
    <row r="245">
      <c r="A245" s="6" t="inlineStr">
        <is>
          <t>兵庫県</t>
        </is>
      </c>
      <c r="B245" s="6" t="n"/>
      <c r="G245" s="9" t="inlineStr">
        <is>
          <t>リハビリテーション部／理学療法士</t>
        </is>
      </c>
      <c r="H245" s="9" t="n">
        <v>90</v>
      </c>
    </row>
    <row r="246">
      <c r="A246" s="7" t="inlineStr">
        <is>
          <t>北海道</t>
        </is>
      </c>
      <c r="B246" s="7" t="n"/>
      <c r="G246" s="9" t="inlineStr">
        <is>
          <t>リハビリテーション部／理学療法士</t>
        </is>
      </c>
      <c r="H246" s="9" t="n">
        <v>90</v>
      </c>
    </row>
    <row r="247">
      <c r="A247" s="6" t="inlineStr">
        <is>
          <t>兵庫県</t>
        </is>
      </c>
      <c r="B247" s="6" t="n"/>
      <c r="G247" s="9" t="inlineStr">
        <is>
          <t>リハビリテーション部／理学療法士</t>
        </is>
      </c>
      <c r="H247" s="23" t="n">
        <v>90</v>
      </c>
    </row>
    <row r="248">
      <c r="A248" s="7" t="inlineStr">
        <is>
          <t>千葉県</t>
        </is>
      </c>
      <c r="B248" s="7" t="n"/>
      <c r="G248" s="9" t="inlineStr">
        <is>
          <t>リハビリテーション部/理学療法士</t>
        </is>
      </c>
      <c r="H248" s="9" t="n">
        <v>90</v>
      </c>
    </row>
    <row r="249">
      <c r="A249" s="6" t="inlineStr">
        <is>
          <t>東京都</t>
        </is>
      </c>
      <c r="B249" s="6" t="n"/>
      <c r="G249" s="23" t="inlineStr">
        <is>
          <t>リハビリテーション部/理学療法士</t>
        </is>
      </c>
      <c r="H249" s="9" t="n">
        <v>89</v>
      </c>
    </row>
    <row r="250">
      <c r="A250" s="7" t="inlineStr">
        <is>
          <t>長野県</t>
        </is>
      </c>
      <c r="B250" s="7" t="n"/>
      <c r="G250" s="9" t="inlineStr">
        <is>
          <t>リハビリテーション部／理学療法士</t>
        </is>
      </c>
      <c r="H250" s="23" t="n">
        <v>89</v>
      </c>
    </row>
    <row r="251">
      <c r="A251" s="6" t="inlineStr">
        <is>
          <t>石川県</t>
        </is>
      </c>
      <c r="B251" s="6" t="n"/>
      <c r="G251" s="9" t="inlineStr">
        <is>
          <t>リハビリテーション部／理学療法士</t>
        </is>
      </c>
      <c r="H251" s="23" t="n">
        <v>87</v>
      </c>
    </row>
    <row r="252">
      <c r="A252" s="7" t="inlineStr">
        <is>
          <t>静岡県</t>
        </is>
      </c>
      <c r="B252" s="7" t="n"/>
      <c r="G252" s="9" t="inlineStr">
        <is>
          <t>リハビリテーション部／理学療法士</t>
        </is>
      </c>
      <c r="H252" s="23" t="n">
        <v>87</v>
      </c>
    </row>
    <row r="253">
      <c r="A253" s="6" t="inlineStr">
        <is>
          <t>佐賀県</t>
        </is>
      </c>
      <c r="B253" s="6" t="n"/>
      <c r="G253" s="9" t="inlineStr">
        <is>
          <t>リハビリテーション部／理学療法士</t>
        </is>
      </c>
      <c r="H253" s="23" t="n">
        <v>86</v>
      </c>
    </row>
    <row r="254">
      <c r="A254" s="7" t="inlineStr">
        <is>
          <t>神奈川県</t>
        </is>
      </c>
      <c r="B254" s="7" t="n"/>
      <c r="G254" s="9" t="inlineStr">
        <is>
          <t>リハビリテーション部/理学療法士</t>
        </is>
      </c>
      <c r="H254" s="9" t="n">
        <v>86</v>
      </c>
    </row>
    <row r="255">
      <c r="A255" s="6" t="inlineStr">
        <is>
          <t>北海道</t>
        </is>
      </c>
      <c r="B255" s="6" t="n"/>
      <c r="G255" s="23" t="inlineStr">
        <is>
          <t>リハビリテーション部T6病棟／作業療法士</t>
        </is>
      </c>
      <c r="H255" s="23" t="n">
        <v>85</v>
      </c>
    </row>
    <row r="256">
      <c r="A256" s="7" t="inlineStr">
        <is>
          <t>富山県</t>
        </is>
      </c>
      <c r="B256" s="7" t="n"/>
      <c r="G256" s="23" t="inlineStr">
        <is>
          <t>リハビリテーション分/理学療法士</t>
        </is>
      </c>
      <c r="H256" s="23" t="n">
        <v>84</v>
      </c>
    </row>
    <row r="257">
      <c r="A257" s="6" t="inlineStr">
        <is>
          <t>岐阜県</t>
        </is>
      </c>
      <c r="B257" s="6" t="n"/>
      <c r="G257" s="9" t="inlineStr">
        <is>
          <t>リハビリテーション療法科/作業療法士</t>
        </is>
      </c>
      <c r="H257" s="9" t="n">
        <v>84</v>
      </c>
    </row>
    <row r="258">
      <c r="A258" s="7" t="inlineStr">
        <is>
          <t>東京都</t>
        </is>
      </c>
      <c r="B258" s="7" t="n"/>
      <c r="G258" s="23" t="inlineStr">
        <is>
          <t>リハビリテーション療法課／理学療法士</t>
        </is>
      </c>
      <c r="H258" s="9" t="n">
        <v>83</v>
      </c>
    </row>
    <row r="259">
      <c r="A259" s="6" t="inlineStr">
        <is>
          <t>埼玉県</t>
        </is>
      </c>
      <c r="B259" s="6" t="n"/>
      <c r="G259" s="23" t="inlineStr">
        <is>
          <t>リハビリ技術科／理学療法士</t>
        </is>
      </c>
      <c r="H259" s="9" t="n">
        <v>83</v>
      </c>
    </row>
    <row r="260">
      <c r="A260" s="7" t="inlineStr">
        <is>
          <t>千葉県</t>
        </is>
      </c>
      <c r="B260" s="7" t="n"/>
      <c r="G260" s="23" t="inlineStr">
        <is>
          <t>医療リハビリテーション科／理学療法士</t>
        </is>
      </c>
      <c r="H260" s="23" t="n">
        <v>80</v>
      </c>
    </row>
    <row r="261">
      <c r="A261" s="6" t="inlineStr">
        <is>
          <t>神奈川県</t>
        </is>
      </c>
      <c r="B261" s="6" t="n"/>
      <c r="G261" s="9" t="inlineStr">
        <is>
          <t>医療技術部リハビリテーション科/理学療法士</t>
        </is>
      </c>
      <c r="H261" s="23" t="n">
        <v>80</v>
      </c>
    </row>
    <row r="262">
      <c r="A262" s="7" t="inlineStr">
        <is>
          <t>青森県</t>
        </is>
      </c>
      <c r="B262" s="7" t="n"/>
      <c r="G262" s="23" t="inlineStr">
        <is>
          <t>運動器リハビリテーション科/作業療法士</t>
        </is>
      </c>
      <c r="H262" s="9" t="n">
        <v>79</v>
      </c>
    </row>
    <row r="263">
      <c r="A263" s="6" t="inlineStr">
        <is>
          <t>徳島県</t>
        </is>
      </c>
      <c r="B263" s="6" t="n"/>
      <c r="G263" s="25" t="inlineStr">
        <is>
          <t>機能訓練科／理学療法死</t>
        </is>
      </c>
      <c r="H263" s="9" t="n">
        <v>78</v>
      </c>
    </row>
    <row r="264">
      <c r="A264" s="7" t="inlineStr">
        <is>
          <t>愛媛県</t>
        </is>
      </c>
      <c r="B264" s="7" t="n"/>
      <c r="G264" s="23" t="inlineStr">
        <is>
          <t>作業療法士</t>
        </is>
      </c>
      <c r="H264" s="9" t="n">
        <v>75</v>
      </c>
    </row>
    <row r="265">
      <c r="A265" s="6" t="inlineStr">
        <is>
          <t>宮城県</t>
        </is>
      </c>
      <c r="B265" s="6" t="n"/>
      <c r="G265" s="23" t="inlineStr">
        <is>
          <t>芝原孝治</t>
        </is>
      </c>
      <c r="H265" s="23" t="n">
        <v>75</v>
      </c>
    </row>
    <row r="266">
      <c r="A266" s="7" t="inlineStr">
        <is>
          <t>愛媛県</t>
        </is>
      </c>
      <c r="B266" s="7" t="n"/>
      <c r="G266" s="23" t="inlineStr">
        <is>
          <t>森本　勝哉</t>
        </is>
      </c>
      <c r="H266" s="9" t="n">
        <v>75</v>
      </c>
    </row>
    <row r="267">
      <c r="A267" s="6" t="inlineStr">
        <is>
          <t>長野県</t>
        </is>
      </c>
      <c r="B267" s="6" t="n"/>
      <c r="G267" s="9" t="inlineStr">
        <is>
          <t>診療リハビリテーション科／理学療法士</t>
        </is>
      </c>
      <c r="H267" s="23" t="n">
        <v>73</v>
      </c>
    </row>
    <row r="268">
      <c r="A268" s="7" t="inlineStr">
        <is>
          <t>北海道</t>
        </is>
      </c>
      <c r="B268" s="7" t="n"/>
      <c r="G268" s="9" t="inlineStr">
        <is>
          <t>診療技術・リハビリテーション部／リハビリテーション科／理学療法士</t>
        </is>
      </c>
      <c r="H268" s="23" t="n">
        <v>73</v>
      </c>
    </row>
    <row r="269">
      <c r="A269" s="6" t="inlineStr">
        <is>
          <t>福岡県</t>
        </is>
      </c>
      <c r="B269" s="6" t="n"/>
      <c r="G269" s="23" t="inlineStr">
        <is>
          <t>診療技術部/リハビリテーション科/理学療法士</t>
        </is>
      </c>
      <c r="H269" s="9" t="n">
        <v>73</v>
      </c>
    </row>
    <row r="270">
      <c r="A270" s="7" t="inlineStr">
        <is>
          <t>兵庫県</t>
        </is>
      </c>
      <c r="B270" s="7" t="n"/>
      <c r="G270" s="23" t="inlineStr">
        <is>
          <t>診療技術部リハビリテーション科／理学療法士</t>
        </is>
      </c>
      <c r="H270" s="23" t="n">
        <v>72</v>
      </c>
    </row>
    <row r="271">
      <c r="A271" s="6" t="inlineStr">
        <is>
          <t>神奈川県</t>
        </is>
      </c>
      <c r="B271" s="6" t="n"/>
      <c r="G271" s="9" t="inlineStr">
        <is>
          <t>総合リハビリテーションセンター/理学療法士</t>
        </is>
      </c>
      <c r="H271" s="23" t="n">
        <v>72</v>
      </c>
    </row>
    <row r="272">
      <c r="A272" s="7" t="inlineStr">
        <is>
          <t>青森県</t>
        </is>
      </c>
      <c r="B272" s="7" t="n"/>
      <c r="G272" s="9" t="inlineStr">
        <is>
          <t>総合リハビリテーション室／理学療法士</t>
        </is>
      </c>
      <c r="H272" s="9" t="n">
        <v>71</v>
      </c>
    </row>
    <row r="273">
      <c r="A273" s="6" t="inlineStr">
        <is>
          <t>岡山県</t>
        </is>
      </c>
      <c r="B273" s="6" t="n"/>
      <c r="G273" s="9" t="inlineStr">
        <is>
          <t>中央リハビリテーション部／理学療法士</t>
        </is>
      </c>
      <c r="H273" s="9" t="n">
        <v>70</v>
      </c>
    </row>
    <row r="274">
      <c r="A274" s="7" t="inlineStr">
        <is>
          <t>富山県</t>
        </is>
      </c>
      <c r="B274" s="7" t="n"/>
      <c r="G274" s="9" t="inlineStr">
        <is>
          <t>中央リハビリテーション部／理学療法士</t>
        </is>
      </c>
      <c r="H274" s="23" t="n">
        <v>70</v>
      </c>
    </row>
    <row r="275">
      <c r="A275" s="6" t="inlineStr">
        <is>
          <t>神奈川県</t>
        </is>
      </c>
      <c r="B275" s="6" t="n"/>
      <c r="G275" s="9" t="inlineStr">
        <is>
          <t>明道知巳</t>
        </is>
      </c>
      <c r="H275" s="9" t="n">
        <v>69</v>
      </c>
    </row>
    <row r="276">
      <c r="A276" s="7" t="inlineStr">
        <is>
          <t>東京都</t>
        </is>
      </c>
      <c r="B276" s="7" t="n"/>
      <c r="G276" s="23" t="inlineStr">
        <is>
          <t>理学療法科/理学療法士</t>
        </is>
      </c>
      <c r="H276" s="9" t="n">
        <v>68</v>
      </c>
    </row>
    <row r="277">
      <c r="A277" s="6" t="inlineStr">
        <is>
          <t>静岡県</t>
        </is>
      </c>
      <c r="B277" s="6" t="n"/>
      <c r="G277" s="9" t="inlineStr">
        <is>
          <t>理学療法士</t>
        </is>
      </c>
      <c r="H277" s="9" t="n">
        <v>67</v>
      </c>
    </row>
    <row r="278">
      <c r="A278" s="7" t="inlineStr">
        <is>
          <t>三重県</t>
        </is>
      </c>
      <c r="B278" s="7" t="n"/>
      <c r="G278" s="9" t="inlineStr">
        <is>
          <t>理学療法士</t>
        </is>
      </c>
      <c r="H278" s="23" t="n">
        <v>66</v>
      </c>
    </row>
    <row r="279">
      <c r="A279" s="6" t="inlineStr">
        <is>
          <t>奈良県</t>
        </is>
      </c>
      <c r="B279" s="6" t="n"/>
      <c r="G279" s="23" t="inlineStr">
        <is>
          <t>理学療法士</t>
        </is>
      </c>
      <c r="H279" s="9" t="n">
        <v>66</v>
      </c>
    </row>
    <row r="280">
      <c r="A280" s="7" t="inlineStr">
        <is>
          <t>福岡県</t>
        </is>
      </c>
      <c r="B280" s="7" t="n"/>
      <c r="G280" s="9" t="inlineStr">
        <is>
          <t>理学療法士</t>
        </is>
      </c>
      <c r="H280" s="9" t="n">
        <v>65</v>
      </c>
    </row>
    <row r="281">
      <c r="A281" s="6" t="inlineStr">
        <is>
          <t>滋賀県</t>
        </is>
      </c>
      <c r="B281" s="6" t="n"/>
      <c r="G281" s="23" t="inlineStr">
        <is>
          <t>理学療法士</t>
        </is>
      </c>
      <c r="H281" s="23" t="n">
        <v>64</v>
      </c>
    </row>
    <row r="282">
      <c r="A282" s="7" t="inlineStr">
        <is>
          <t>鳥取県</t>
        </is>
      </c>
      <c r="B282" s="7" t="n"/>
      <c r="G282" s="9" t="inlineStr">
        <is>
          <t>理学療法士</t>
        </is>
      </c>
      <c r="H282" s="9" t="n">
        <v>64</v>
      </c>
    </row>
    <row r="283">
      <c r="A283" s="6" t="inlineStr">
        <is>
          <t>岐阜県</t>
        </is>
      </c>
      <c r="B283" s="6" t="n"/>
      <c r="G283" s="23" t="inlineStr">
        <is>
          <t>理学療法士1</t>
        </is>
      </c>
      <c r="H283" s="9" t="n">
        <v>64</v>
      </c>
    </row>
    <row r="284">
      <c r="A284" s="7" t="inlineStr">
        <is>
          <t>静岡県</t>
        </is>
      </c>
      <c r="B284" s="7" t="n"/>
      <c r="G284" s="12" t="n"/>
      <c r="H284" s="23" t="n">
        <v>63</v>
      </c>
    </row>
    <row r="285">
      <c r="A285" s="6" t="inlineStr">
        <is>
          <t>岡山県</t>
        </is>
      </c>
      <c r="B285" s="6" t="n"/>
      <c r="G285" s="12" t="n"/>
      <c r="H285" s="23" t="n">
        <v>62</v>
      </c>
    </row>
    <row r="286">
      <c r="A286" s="7" t="inlineStr">
        <is>
          <t>大阪府</t>
        </is>
      </c>
      <c r="B286" s="7" t="n"/>
      <c r="G286" s="11" t="n"/>
      <c r="H286" s="9" t="n">
        <v>61</v>
      </c>
    </row>
    <row r="287">
      <c r="A287" s="6" t="inlineStr">
        <is>
          <t>沖縄県</t>
        </is>
      </c>
      <c r="B287" s="6" t="n"/>
      <c r="G287" s="12" t="n"/>
      <c r="H287" s="23" t="n">
        <v>61</v>
      </c>
    </row>
    <row r="288">
      <c r="A288" s="7" t="inlineStr">
        <is>
          <t>佐賀県</t>
        </is>
      </c>
      <c r="B288" s="7" t="n"/>
      <c r="G288" s="11" t="n"/>
      <c r="H288" s="23" t="n">
        <v>60</v>
      </c>
    </row>
    <row r="289">
      <c r="A289" s="8" t="inlineStr">
        <is>
          <t>福井県</t>
        </is>
      </c>
      <c r="B289" s="6" t="n"/>
      <c r="G289" s="11" t="n"/>
      <c r="H289" s="9" t="n">
        <v>60</v>
      </c>
    </row>
    <row r="290">
      <c r="A290" s="4" t="n"/>
      <c r="B290" s="9" t="n"/>
      <c r="G290" s="11" t="n"/>
      <c r="H290" s="23" t="n">
        <v>60</v>
      </c>
    </row>
    <row r="291">
      <c r="G291" s="11" t="n"/>
      <c r="H291" s="9" t="n">
        <v>58</v>
      </c>
    </row>
    <row r="292">
      <c r="G292" s="11" t="n"/>
      <c r="H292" s="9" t="n">
        <v>57</v>
      </c>
    </row>
    <row r="293">
      <c r="G293" s="12" t="n"/>
      <c r="H293" s="9" t="n">
        <v>57</v>
      </c>
    </row>
    <row r="294">
      <c r="G294" s="11" t="n"/>
      <c r="H294" s="9" t="n">
        <v>57</v>
      </c>
    </row>
    <row r="295">
      <c r="G295" s="11" t="n"/>
      <c r="H295" s="23" t="n">
        <v>55</v>
      </c>
    </row>
    <row r="296">
      <c r="G296" s="11" t="n"/>
      <c r="H296" s="9" t="n">
        <v>54</v>
      </c>
    </row>
    <row r="297">
      <c r="G297" s="12" t="n"/>
      <c r="H297" s="9" t="n">
        <v>53</v>
      </c>
    </row>
    <row r="298">
      <c r="G298" s="12" t="n"/>
      <c r="H298" s="23" t="n">
        <v>52</v>
      </c>
    </row>
    <row r="299">
      <c r="G299" s="11" t="n"/>
      <c r="H299" s="23" t="n">
        <v>49</v>
      </c>
    </row>
    <row r="300">
      <c r="G300" s="11" t="n"/>
      <c r="H300" s="23" t="n">
        <v>49</v>
      </c>
    </row>
    <row r="301">
      <c r="G301" s="11" t="n"/>
      <c r="H301" s="23" t="n">
        <v>48</v>
      </c>
    </row>
    <row r="302">
      <c r="G302" s="12" t="n"/>
      <c r="H302" s="9" t="n">
        <v>40</v>
      </c>
    </row>
    <row r="303">
      <c r="G303" s="11" t="n"/>
      <c r="H303" s="23" t="n">
        <v>32</v>
      </c>
    </row>
    <row r="304">
      <c r="H304" s="23" t="n">
        <v>27</v>
      </c>
    </row>
    <row r="305">
      <c r="H305" s="9" t="n">
        <v>22</v>
      </c>
    </row>
    <row r="306">
      <c r="H306" s="9" t="n">
        <v>20</v>
      </c>
    </row>
    <row r="307">
      <c r="H307" s="23" t="n">
        <v>20</v>
      </c>
    </row>
    <row r="308">
      <c r="H308" s="9" t="n">
        <v>20</v>
      </c>
    </row>
    <row r="309">
      <c r="H309" s="9" t="n">
        <v>19</v>
      </c>
    </row>
    <row r="310">
      <c r="H310" s="23" t="n">
        <v>13</v>
      </c>
    </row>
  </sheetData>
  <pageMargins left="0.7" right="0.7" top="0.75" bottom="0.75" header="0.3" footer="0.3"/>
  <drawing xmlns:r="http://schemas.openxmlformats.org/officeDocument/2006/relationships" r:id="rId1"/>
  <tableParts count="3">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5.xml><?xml version="1.0" encoding="utf-8"?>
<worksheet xmlns="http://schemas.openxmlformats.org/spreadsheetml/2006/main">
  <sheetPr>
    <outlinePr summaryBelow="1" summaryRight="1"/>
    <pageSetUpPr/>
  </sheetPr>
  <dimension ref="A1:F218"/>
  <sheetViews>
    <sheetView showGridLines="1" workbookViewId="0">
      <pane xSplit="2" ySplit="3" topLeftCell="C4" activePane="bottomRight" state="frozen"/>
      <selection pane="topRight"/>
      <selection pane="bottomLeft"/>
      <selection pane="bottomRight" activeCell="A1" sqref="A1"/>
    </sheetView>
  </sheetViews>
  <sheetFormatPr baseColWidth="8" defaultRowHeight="15"/>
  <cols>
    <col width="6" customWidth="1" min="1" max="1"/>
    <col width="35" customWidth="1" min="2" max="2"/>
    <col width="12" customWidth="1" min="3" max="3"/>
    <col width="10" customWidth="1" min="4" max="4"/>
    <col width="12" customWidth="1" min="5" max="5"/>
    <col width="12" customWidth="1" min="6" max="6"/>
    <col width="4" customWidth="1" min="7" max="7"/>
  </cols>
  <sheetData>
    <row r="1" ht="30" customHeight="1">
      <c r="A1" s="35" t="inlineStr">
        <is>
          <t>【データチェックシート】第2回 急性期におけるリハビリテーション調査 集計結果確認</t>
        </is>
      </c>
    </row>
    <row r="2" ht="24" customHeight="1">
      <c r="A2" s="36">
        <f>" 有効回答数（N）: "&amp;COUNTA('サマリ作成用'!A:A)-1&amp;" 件"</f>
        <v/>
      </c>
    </row>
    <row r="3" ht="8" customHeight="1"/>
    <row r="4" ht="18" customHeight="1">
      <c r="A4" s="37" t="inlineStr">
        <is>
          <t>【見方】差分(関数-PPTX)が0であれば一致。正の値はPPTXが少ない、負の値はPPTXが多い。</t>
        </is>
      </c>
    </row>
    <row r="5" ht="8" customHeight="1"/>
    <row r="6" ht="24" customHeight="1">
      <c r="A6" s="38" t="inlineStr">
        <is>
          <t>■ 回答者の所属部署・職種（任意回答）  ※列F = ご所属部署名・職種</t>
        </is>
      </c>
    </row>
    <row r="7" ht="20" customHeight="1">
      <c r="A7" s="39" t="inlineStr">
        <is>
          <t>所属部署・職種</t>
        </is>
      </c>
      <c r="C7" s="39" t="inlineStr">
        <is>
          <t>関数カウント</t>
        </is>
      </c>
      <c r="D7" s="39" t="inlineStr">
        <is>
          <t>割合</t>
        </is>
      </c>
      <c r="E7" s="39" t="inlineStr">
        <is>
          <t>PPTX値</t>
        </is>
      </c>
      <c r="F7" s="39" t="inlineStr">
        <is>
          <t>差分</t>
        </is>
      </c>
    </row>
    <row r="8" ht="22" customHeight="1">
      <c r="A8" s="40" t="inlineStr">
        <is>
          <t>No.</t>
        </is>
      </c>
      <c r="B8" s="40" t="inlineStr">
        <is>
          <t>回答選択肢</t>
        </is>
      </c>
      <c r="C8" s="40" t="inlineStr">
        <is>
          <t>関数カウント</t>
        </is>
      </c>
      <c r="D8" s="40" t="inlineStr">
        <is>
          <t>割合(%)</t>
        </is>
      </c>
      <c r="E8" s="40" t="inlineStr">
        <is>
          <t>PPTX値</t>
        </is>
      </c>
      <c r="F8" s="40" t="inlineStr">
        <is>
          <t>差分(関数-PPTX)</t>
        </is>
      </c>
    </row>
    <row r="9" ht="18" customHeight="1">
      <c r="A9" s="41" t="n">
        <v>1</v>
      </c>
      <c r="B9" s="42" t="inlineStr">
        <is>
          <t>リハビリテーション科（部・室・課・センター等も含む）</t>
        </is>
      </c>
      <c r="C9" s="41">
        <f>COUNTIF('サマリ作成用'!F:F,"*リハビリ*")</f>
        <v/>
      </c>
      <c r="D9" s="43">
        <f>IF(C9="","",ROUND(C9/(COUNTA('サマリ作成用'!A:A)-1)*100,1))</f>
        <v/>
      </c>
      <c r="E9" s="41" t="n">
        <v>140</v>
      </c>
      <c r="F9" s="41">
        <f>IF(OR(C9="",E9=""),"",C9-E9)</f>
        <v/>
      </c>
    </row>
    <row r="10" ht="18" customHeight="1">
      <c r="A10" s="44" t="n">
        <v>2</v>
      </c>
      <c r="B10" s="45" t="inlineStr">
        <is>
          <t>理学療法士</t>
        </is>
      </c>
      <c r="C10" s="44">
        <f>COUNTIFS('サマリ作成用'!F:F,"*理学療法士*",'サマリ作成用'!F:F,"&lt;&gt;*リハビリ*")</f>
        <v/>
      </c>
      <c r="D10" s="46">
        <f>IF(C10="","",ROUND(C10/(COUNTA('サマリ作成用'!A:A)-1)*100,1))</f>
        <v/>
      </c>
      <c r="E10" s="44" t="n">
        <v>106</v>
      </c>
      <c r="F10" s="44">
        <f>IF(OR(C10="",E10=""),"",C10-E10)</f>
        <v/>
      </c>
    </row>
    <row r="11" ht="18" customHeight="1">
      <c r="A11" s="41" t="n">
        <v>3</v>
      </c>
      <c r="B11" s="42" t="inlineStr">
        <is>
          <t>作業療法士</t>
        </is>
      </c>
      <c r="C11" s="41">
        <f>COUNTIFS('サマリ作成用'!F:F,"*作業療法士*",'サマリ作成用'!F:F,"&lt;&gt;*リハビリ*",'サマリ作成用'!F:F,"&lt;&gt;*理学療法士*")</f>
        <v/>
      </c>
      <c r="D11" s="43">
        <f>IF(C11="","",ROUND(C11/(COUNTA('サマリ作成用'!A:A)-1)*100,1))</f>
        <v/>
      </c>
      <c r="E11" s="41" t="n">
        <v>9</v>
      </c>
      <c r="F11" s="41">
        <f>IF(OR(C11="",E11=""),"",C11-E11)</f>
        <v/>
      </c>
    </row>
    <row r="12" ht="18" customHeight="1">
      <c r="A12" s="44" t="n">
        <v>4</v>
      </c>
      <c r="B12" s="45" t="inlineStr">
        <is>
          <t>その他（上記以外または未回答）</t>
        </is>
      </c>
      <c r="C12" s="44">
        <f>COUNTIFS('サマリ作成用'!F:F,"&lt;&gt;*リハビリ*",'サマリ作成用'!F:F,"&lt;&gt;*理学療法士*",'サマリ作成用'!F:F,"&lt;&gt;*作業療法士*")</f>
        <v/>
      </c>
      <c r="D12" s="46">
        <f>IF(C12="","",ROUND(C12/(COUNTA('サマリ作成用'!A:A)-1)*100,1))</f>
        <v/>
      </c>
      <c r="E12" s="44" t="n">
        <v>34</v>
      </c>
      <c r="F12" s="44">
        <f>IF(OR(C12="",E12=""),"",C12-E12)</f>
        <v/>
      </c>
    </row>
    <row r="13" ht="20" customHeight="1">
      <c r="A13" s="47" t="inlineStr">
        <is>
          <t>合計</t>
        </is>
      </c>
      <c r="C13" s="47">
        <f>SUM(C9:C12)</f>
        <v/>
      </c>
      <c r="D13" s="48">
        <f>ROUND(C13/(COUNTA('サマリ作成用'!A:A)-1)*100,1)</f>
        <v/>
      </c>
      <c r="E13" s="47" t="inlineStr"/>
      <c r="F13" s="47" t="inlineStr"/>
    </row>
    <row r="14" ht="8" customHeight="1"/>
    <row r="15" ht="24" customHeight="1">
      <c r="A15" s="38" t="inlineStr">
        <is>
          <t>■ Q2. 大腿骨近位部骨折を担当したPT（理学療法士）の在籍人数  ※列H</t>
        </is>
      </c>
    </row>
    <row r="16" ht="20" customHeight="1">
      <c r="A16" s="39" t="inlineStr">
        <is>
          <t>Q2 PT在籍人数（パレート図）</t>
        </is>
      </c>
      <c r="C16" s="39" t="inlineStr">
        <is>
          <t>関数カウント</t>
        </is>
      </c>
      <c r="D16" s="39" t="inlineStr">
        <is>
          <t>割合</t>
        </is>
      </c>
      <c r="E16" s="39" t="inlineStr">
        <is>
          <t>PPTX値</t>
        </is>
      </c>
      <c r="F16" s="39" t="inlineStr">
        <is>
          <t>差分</t>
        </is>
      </c>
    </row>
    <row r="17" ht="22" customHeight="1">
      <c r="A17" s="40" t="inlineStr">
        <is>
          <t>No.</t>
        </is>
      </c>
      <c r="B17" s="40" t="inlineStr">
        <is>
          <t>回答選択肢</t>
        </is>
      </c>
      <c r="C17" s="40" t="inlineStr">
        <is>
          <t>関数カウント</t>
        </is>
      </c>
      <c r="D17" s="40" t="inlineStr">
        <is>
          <t>割合(%)</t>
        </is>
      </c>
      <c r="E17" s="40" t="inlineStr">
        <is>
          <t>PPTX値</t>
        </is>
      </c>
      <c r="F17" s="40" t="inlineStr">
        <is>
          <t>差分(関数-PPTX)</t>
        </is>
      </c>
    </row>
    <row r="18" ht="18" customHeight="1">
      <c r="A18" s="41" t="n">
        <v>1</v>
      </c>
      <c r="B18" s="42" t="inlineStr">
        <is>
          <t>1〜5人</t>
        </is>
      </c>
      <c r="C18" s="41">
        <f>COUNTIFS('サマリ作成用'!H:H,"&gt;="&amp;1,'サマリ作成用'!H:H,"&lt;="&amp;5)</f>
        <v/>
      </c>
      <c r="D18" s="43">
        <f>IF(C18="","",ROUND(C18/(COUNTA('サマリ作成用'!A:A)-1)*100,1))</f>
        <v/>
      </c>
      <c r="E18" s="41" t="n">
        <v>12</v>
      </c>
      <c r="F18" s="41">
        <f>IF(OR(C18="",E18=""),"",C18-E18)</f>
        <v/>
      </c>
    </row>
    <row r="19" ht="18" customHeight="1">
      <c r="A19" s="44" t="n">
        <v>2</v>
      </c>
      <c r="B19" s="45" t="inlineStr">
        <is>
          <t>6〜10人</t>
        </is>
      </c>
      <c r="C19" s="44">
        <f>COUNTIFS('サマリ作成用'!H:H,"&gt;="&amp;6,'サマリ作成用'!H:H,"&lt;="&amp;10)</f>
        <v/>
      </c>
      <c r="D19" s="46">
        <f>IF(C19="","",ROUND(C19/(COUNTA('サマリ作成用'!A:A)-1)*100,1))</f>
        <v/>
      </c>
      <c r="E19" s="44" t="n">
        <v>82</v>
      </c>
      <c r="F19" s="44">
        <f>IF(OR(C19="",E19=""),"",C19-E19)</f>
        <v/>
      </c>
    </row>
    <row r="20" ht="18" customHeight="1">
      <c r="A20" s="41" t="n">
        <v>3</v>
      </c>
      <c r="B20" s="42" t="inlineStr">
        <is>
          <t>11〜15人</t>
        </is>
      </c>
      <c r="C20" s="41">
        <f>COUNTIFS('サマリ作成用'!H:H,"&gt;="&amp;11,'サマリ作成用'!H:H,"&lt;="&amp;15)</f>
        <v/>
      </c>
      <c r="D20" s="43">
        <f>IF(C20="","",ROUND(C20/(COUNTA('サマリ作成用'!A:A)-1)*100,1))</f>
        <v/>
      </c>
      <c r="E20" s="41" t="n">
        <v>93</v>
      </c>
      <c r="F20" s="41">
        <f>IF(OR(C20="",E20=""),"",C20-E20)</f>
        <v/>
      </c>
    </row>
    <row r="21" ht="18" customHeight="1">
      <c r="A21" s="44" t="n">
        <v>4</v>
      </c>
      <c r="B21" s="45" t="inlineStr">
        <is>
          <t>16〜20人</t>
        </is>
      </c>
      <c r="C21" s="44">
        <f>COUNTIFS('サマリ作成用'!H:H,"&gt;="&amp;16,'サマリ作成用'!H:H,"&lt;="&amp;20)</f>
        <v/>
      </c>
      <c r="D21" s="46">
        <f>IF(C21="","",ROUND(C21/(COUNTA('サマリ作成用'!A:A)-1)*100,1))</f>
        <v/>
      </c>
      <c r="E21" s="44" t="n">
        <v>42</v>
      </c>
      <c r="F21" s="44">
        <f>IF(OR(C21="",E21=""),"",C21-E21)</f>
        <v/>
      </c>
    </row>
    <row r="22" ht="18" customHeight="1">
      <c r="A22" s="41" t="n">
        <v>5</v>
      </c>
      <c r="B22" s="42" t="inlineStr">
        <is>
          <t>21〜25人</t>
        </is>
      </c>
      <c r="C22" s="41">
        <f>COUNTIFS('サマリ作成用'!H:H,"&gt;="&amp;21,'サマリ作成用'!H:H,"&lt;="&amp;25)</f>
        <v/>
      </c>
      <c r="D22" s="43">
        <f>IF(C22="","",ROUND(C22/(COUNTA('サマリ作成用'!A:A)-1)*100,1))</f>
        <v/>
      </c>
      <c r="E22" s="41" t="n">
        <v>18</v>
      </c>
      <c r="F22" s="41">
        <f>IF(OR(C22="",E22=""),"",C22-E22)</f>
        <v/>
      </c>
    </row>
    <row r="23" ht="18" customHeight="1">
      <c r="A23" s="44" t="n">
        <v>6</v>
      </c>
      <c r="B23" s="45" t="inlineStr">
        <is>
          <t>26〜30人</t>
        </is>
      </c>
      <c r="C23" s="44">
        <f>COUNTIFS('サマリ作成用'!H:H,"&gt;="&amp;26,'サマリ作成用'!H:H,"&lt;="&amp;30)</f>
        <v/>
      </c>
      <c r="D23" s="46">
        <f>IF(C23="","",ROUND(C23/(COUNTA('サマリ作成用'!A:A)-1)*100,1))</f>
        <v/>
      </c>
      <c r="E23" s="44" t="n">
        <v>20</v>
      </c>
      <c r="F23" s="44">
        <f>IF(OR(C23="",E23=""),"",C23-E23)</f>
        <v/>
      </c>
    </row>
    <row r="24" ht="18" customHeight="1">
      <c r="A24" s="41" t="n">
        <v>7</v>
      </c>
      <c r="B24" s="42" t="inlineStr">
        <is>
          <t>31〜35人</t>
        </is>
      </c>
      <c r="C24" s="41">
        <f>COUNTIFS('サマリ作成用'!H:H,"&gt;="&amp;31,'サマリ作成用'!H:H,"&lt;="&amp;35)</f>
        <v/>
      </c>
      <c r="D24" s="43">
        <f>IF(C24="","",ROUND(C24/(COUNTA('サマリ作成用'!A:A)-1)*100,1))</f>
        <v/>
      </c>
      <c r="E24" s="41" t="n">
        <v>6</v>
      </c>
      <c r="F24" s="41">
        <f>IF(OR(C24="",E24=""),"",C24-E24)</f>
        <v/>
      </c>
    </row>
    <row r="25" ht="18" customHeight="1">
      <c r="A25" s="44" t="n">
        <v>8</v>
      </c>
      <c r="B25" s="45" t="inlineStr">
        <is>
          <t>36〜40人</t>
        </is>
      </c>
      <c r="C25" s="44">
        <f>COUNTIFS('サマリ作成用'!H:H,"&gt;="&amp;36,'サマリ作成用'!H:H,"&lt;="&amp;40)</f>
        <v/>
      </c>
      <c r="D25" s="46">
        <f>IF(C25="","",ROUND(C25/(COUNTA('サマリ作成用'!A:A)-1)*100,1))</f>
        <v/>
      </c>
      <c r="E25" s="44" t="n">
        <v>6</v>
      </c>
      <c r="F25" s="44">
        <f>IF(OR(C25="",E25=""),"",C25-E25)</f>
        <v/>
      </c>
    </row>
    <row r="26" ht="18" customHeight="1">
      <c r="A26" s="41" t="n">
        <v>9</v>
      </c>
      <c r="B26" s="42" t="inlineStr">
        <is>
          <t>41〜45人</t>
        </is>
      </c>
      <c r="C26" s="41">
        <f>COUNTIFS('サマリ作成用'!H:H,"&gt;="&amp;41,'サマリ作成用'!H:H,"&lt;="&amp;45)</f>
        <v/>
      </c>
      <c r="D26" s="43">
        <f>IF(C26="","",ROUND(C26/(COUNTA('サマリ作成用'!A:A)-1)*100,1))</f>
        <v/>
      </c>
      <c r="E26" s="41" t="n">
        <v>3</v>
      </c>
      <c r="F26" s="41">
        <f>IF(OR(C26="",E26=""),"",C26-E26)</f>
        <v/>
      </c>
    </row>
    <row r="27" ht="18" customHeight="1">
      <c r="A27" s="44" t="n">
        <v>10</v>
      </c>
      <c r="B27" s="45" t="inlineStr">
        <is>
          <t>46〜50人</t>
        </is>
      </c>
      <c r="C27" s="44">
        <f>COUNTIFS('サマリ作成用'!H:H,"&gt;="&amp;46,'サマリ作成用'!H:H,"&lt;="&amp;50)</f>
        <v/>
      </c>
      <c r="D27" s="46">
        <f>IF(C27="","",ROUND(C27/(COUNTA('サマリ作成用'!A:A)-1)*100,1))</f>
        <v/>
      </c>
      <c r="E27" s="44" t="n">
        <v>3</v>
      </c>
      <c r="F27" s="44">
        <f>IF(OR(C27="",E27=""),"",C27-E27)</f>
        <v/>
      </c>
    </row>
    <row r="28" ht="18" customHeight="1">
      <c r="A28" s="41" t="n">
        <v>11</v>
      </c>
      <c r="B28" s="42" t="inlineStr">
        <is>
          <t>51人以上</t>
        </is>
      </c>
      <c r="C28" s="41">
        <f>COUNTIFS('サマリ作成用'!H:H,"&gt;="&amp;51)</f>
        <v/>
      </c>
      <c r="D28" s="43">
        <f>IF(C28="","",ROUND(C28/(COUNTA('サマリ作成用'!A:A)-1)*100,1))</f>
        <v/>
      </c>
      <c r="E28" s="41" t="n">
        <v>4</v>
      </c>
      <c r="F28" s="41">
        <f>IF(OR(C28="",E28=""),"",C28-E28)</f>
        <v/>
      </c>
    </row>
    <row r="29" ht="20" customHeight="1">
      <c r="A29" s="47" t="inlineStr">
        <is>
          <t>合計</t>
        </is>
      </c>
      <c r="C29" s="47">
        <f>SUM(C18:C28)</f>
        <v/>
      </c>
      <c r="D29" s="48">
        <f>ROUND(C29/(COUNTA('サマリ作成用'!A:A)-1)*100,1)</f>
        <v/>
      </c>
      <c r="E29" s="47" t="inlineStr"/>
      <c r="F29" s="47" t="inlineStr"/>
    </row>
    <row r="30" ht="8" customHeight="1"/>
    <row r="31" ht="24" customHeight="1">
      <c r="A31" s="38" t="inlineStr">
        <is>
          <t>■ Q3. 大腿骨近位部骨折を担当したOT（作業療法士）の在籍人数  ※列I</t>
        </is>
      </c>
    </row>
    <row r="32" ht="20" customHeight="1">
      <c r="A32" s="39" t="inlineStr">
        <is>
          <t>Q3 OT在籍人数（パレート図）</t>
        </is>
      </c>
      <c r="C32" s="39" t="inlineStr">
        <is>
          <t>関数カウント</t>
        </is>
      </c>
      <c r="D32" s="39" t="inlineStr">
        <is>
          <t>割合</t>
        </is>
      </c>
      <c r="E32" s="39" t="inlineStr">
        <is>
          <t>PPTX値</t>
        </is>
      </c>
      <c r="F32" s="39" t="inlineStr">
        <is>
          <t>差分</t>
        </is>
      </c>
    </row>
    <row r="33" ht="22" customHeight="1">
      <c r="A33" s="40" t="inlineStr">
        <is>
          <t>No.</t>
        </is>
      </c>
      <c r="B33" s="40" t="inlineStr">
        <is>
          <t>回答選択肢</t>
        </is>
      </c>
      <c r="C33" s="40" t="inlineStr">
        <is>
          <t>関数カウント</t>
        </is>
      </c>
      <c r="D33" s="40" t="inlineStr">
        <is>
          <t>割合(%)</t>
        </is>
      </c>
      <c r="E33" s="40" t="inlineStr">
        <is>
          <t>PPTX値</t>
        </is>
      </c>
      <c r="F33" s="40" t="inlineStr">
        <is>
          <t>差分(関数-PPTX)</t>
        </is>
      </c>
    </row>
    <row r="34" ht="18" customHeight="1">
      <c r="A34" s="41" t="n">
        <v>1</v>
      </c>
      <c r="B34" s="42" t="inlineStr">
        <is>
          <t>0人（なし）</t>
        </is>
      </c>
      <c r="C34" s="41">
        <f>COUNTIF('サマリ作成用'!I:I,0)</f>
        <v/>
      </c>
      <c r="D34" s="43">
        <f>IF(C34="","",ROUND(C34/(COUNTA('サマリ作成用'!A:A)-1)*100,1))</f>
        <v/>
      </c>
      <c r="E34" s="41" t="n">
        <v>0</v>
      </c>
      <c r="F34" s="41">
        <f>IF(OR(C34="",E34=""),"",C34-E34)</f>
        <v/>
      </c>
    </row>
    <row r="35" ht="18" customHeight="1">
      <c r="A35" s="44" t="n">
        <v>2</v>
      </c>
      <c r="B35" s="45" t="inlineStr">
        <is>
          <t>1〜5人</t>
        </is>
      </c>
      <c r="C35" s="44">
        <f>COUNTIFS('サマリ作成用'!I:I,"&gt;="&amp;1,'サマリ作成用'!I:I,"&lt;="&amp;5)</f>
        <v/>
      </c>
      <c r="D35" s="46">
        <f>IF(C35="","",ROUND(C35/(COUNTA('サマリ作成用'!A:A)-1)*100,1))</f>
        <v/>
      </c>
      <c r="E35" s="44" t="inlineStr"/>
      <c r="F35" s="44">
        <f>IF(OR(C35="",E35=""),"",C35-E35)</f>
        <v/>
      </c>
    </row>
    <row r="36" ht="18" customHeight="1">
      <c r="A36" s="41" t="n">
        <v>3</v>
      </c>
      <c r="B36" s="42" t="inlineStr">
        <is>
          <t>6〜10人</t>
        </is>
      </c>
      <c r="C36" s="41">
        <f>COUNTIFS('サマリ作成用'!I:I,"&gt;="&amp;6,'サマリ作成用'!I:I,"&lt;="&amp;10)</f>
        <v/>
      </c>
      <c r="D36" s="43">
        <f>IF(C36="","",ROUND(C36/(COUNTA('サマリ作成用'!A:A)-1)*100,1))</f>
        <v/>
      </c>
      <c r="E36" s="41" t="inlineStr"/>
      <c r="F36" s="41">
        <f>IF(OR(C36="",E36=""),"",C36-E36)</f>
        <v/>
      </c>
    </row>
    <row r="37" ht="18" customHeight="1">
      <c r="A37" s="44" t="n">
        <v>4</v>
      </c>
      <c r="B37" s="45" t="inlineStr">
        <is>
          <t>11〜15人</t>
        </is>
      </c>
      <c r="C37" s="44">
        <f>COUNTIFS('サマリ作成用'!I:I,"&gt;="&amp;11,'サマリ作成用'!I:I,"&lt;="&amp;15)</f>
        <v/>
      </c>
      <c r="D37" s="46">
        <f>IF(C37="","",ROUND(C37/(COUNTA('サマリ作成用'!A:A)-1)*100,1))</f>
        <v/>
      </c>
      <c r="E37" s="44" t="inlineStr"/>
      <c r="F37" s="44">
        <f>IF(OR(C37="",E37=""),"",C37-E37)</f>
        <v/>
      </c>
    </row>
    <row r="38" ht="18" customHeight="1">
      <c r="A38" s="41" t="n">
        <v>5</v>
      </c>
      <c r="B38" s="42" t="inlineStr">
        <is>
          <t>16〜20人</t>
        </is>
      </c>
      <c r="C38" s="41">
        <f>COUNTIFS('サマリ作成用'!I:I,"&gt;="&amp;16,'サマリ作成用'!I:I,"&lt;="&amp;20)</f>
        <v/>
      </c>
      <c r="D38" s="43">
        <f>IF(C38="","",ROUND(C38/(COUNTA('サマリ作成用'!A:A)-1)*100,1))</f>
        <v/>
      </c>
      <c r="E38" s="41" t="inlineStr"/>
      <c r="F38" s="41">
        <f>IF(OR(C38="",E38=""),"",C38-E38)</f>
        <v/>
      </c>
    </row>
    <row r="39" ht="18" customHeight="1">
      <c r="A39" s="44" t="n">
        <v>6</v>
      </c>
      <c r="B39" s="45" t="inlineStr">
        <is>
          <t>21〜25人</t>
        </is>
      </c>
      <c r="C39" s="44">
        <f>COUNTIFS('サマリ作成用'!I:I,"&gt;="&amp;21,'サマリ作成用'!I:I,"&lt;="&amp;25)</f>
        <v/>
      </c>
      <c r="D39" s="46">
        <f>IF(C39="","",ROUND(C39/(COUNTA('サマリ作成用'!A:A)-1)*100,1))</f>
        <v/>
      </c>
      <c r="E39" s="44" t="inlineStr"/>
      <c r="F39" s="44">
        <f>IF(OR(C39="",E39=""),"",C39-E39)</f>
        <v/>
      </c>
    </row>
    <row r="40" ht="18" customHeight="1">
      <c r="A40" s="41" t="n">
        <v>7</v>
      </c>
      <c r="B40" s="42" t="inlineStr">
        <is>
          <t>26〜30人</t>
        </is>
      </c>
      <c r="C40" s="41">
        <f>COUNTIFS('サマリ作成用'!I:I,"&gt;="&amp;26,'サマリ作成用'!I:I,"&lt;="&amp;30)</f>
        <v/>
      </c>
      <c r="D40" s="43">
        <f>IF(C40="","",ROUND(C40/(COUNTA('サマリ作成用'!A:A)-1)*100,1))</f>
        <v/>
      </c>
      <c r="E40" s="41" t="inlineStr"/>
      <c r="F40" s="41">
        <f>IF(OR(C40="",E40=""),"",C40-E40)</f>
        <v/>
      </c>
    </row>
    <row r="41" ht="18" customHeight="1">
      <c r="A41" s="44" t="n">
        <v>8</v>
      </c>
      <c r="B41" s="45" t="inlineStr">
        <is>
          <t>31〜43人</t>
        </is>
      </c>
      <c r="C41" s="44">
        <f>COUNTIFS('サマリ作成用'!I:I,"&gt;="&amp;31)</f>
        <v/>
      </c>
      <c r="D41" s="46">
        <f>IF(C41="","",ROUND(C41/(COUNTA('サマリ作成用'!A:A)-1)*100,1))</f>
        <v/>
      </c>
      <c r="E41" s="44" t="inlineStr"/>
      <c r="F41" s="44">
        <f>IF(OR(C41="",E41=""),"",C41-E41)</f>
        <v/>
      </c>
    </row>
    <row r="42" ht="20" customHeight="1">
      <c r="A42" s="47" t="inlineStr">
        <is>
          <t>合計</t>
        </is>
      </c>
      <c r="C42" s="47">
        <f>SUM(C34:C41)</f>
        <v/>
      </c>
      <c r="D42" s="48">
        <f>ROUND(C42/(COUNTA('サマリ作成用'!A:A)-1)*100,1)</f>
        <v/>
      </c>
      <c r="E42" s="47" t="inlineStr"/>
      <c r="F42" s="47" t="inlineStr"/>
    </row>
    <row r="43" ht="8" customHeight="1"/>
    <row r="44" ht="24" customHeight="1">
      <c r="A44" s="38" t="inlineStr">
        <is>
          <t>■ Q4. リハビリテーション・栄養・口腔連携体制加算の算定状況  ※列J</t>
        </is>
      </c>
    </row>
    <row r="45" ht="20" customHeight="1">
      <c r="A45" s="39" t="inlineStr">
        <is>
          <t>Q4 算定状況（単一選択）</t>
        </is>
      </c>
      <c r="C45" s="39" t="inlineStr">
        <is>
          <t>関数カウント</t>
        </is>
      </c>
      <c r="D45" s="39" t="inlineStr">
        <is>
          <t>割合</t>
        </is>
      </c>
      <c r="E45" s="39" t="inlineStr">
        <is>
          <t>PPTX値</t>
        </is>
      </c>
      <c r="F45" s="39" t="inlineStr">
        <is>
          <t>差分</t>
        </is>
      </c>
    </row>
    <row r="46" ht="22" customHeight="1">
      <c r="A46" s="40" t="inlineStr">
        <is>
          <t>No.</t>
        </is>
      </c>
      <c r="B46" s="40" t="inlineStr">
        <is>
          <t>回答選択肢</t>
        </is>
      </c>
      <c r="C46" s="40" t="inlineStr">
        <is>
          <t>関数カウント</t>
        </is>
      </c>
      <c r="D46" s="40" t="inlineStr">
        <is>
          <t>割合(%)</t>
        </is>
      </c>
      <c r="E46" s="40" t="inlineStr">
        <is>
          <t>PPTX値</t>
        </is>
      </c>
      <c r="F46" s="40" t="inlineStr">
        <is>
          <t>差分(関数-PPTX)</t>
        </is>
      </c>
    </row>
    <row r="47" ht="18" customHeight="1">
      <c r="A47" s="41" t="n">
        <v>1</v>
      </c>
      <c r="B47" s="42" t="inlineStr">
        <is>
          <t>現在、算定している</t>
        </is>
      </c>
      <c r="C47" s="41">
        <f>COUNTIF('サマリ作成用'!J:J,"現在、算定している")</f>
        <v/>
      </c>
      <c r="D47" s="43">
        <f>IF(C47="","",ROUND(C47/(COUNTA('サマリ作成用'!A:A)-1)*100,1))</f>
        <v/>
      </c>
      <c r="E47" s="41" t="n">
        <v>50</v>
      </c>
      <c r="F47" s="41">
        <f>IF(OR(C47="",E47=""),"",C47-E47)</f>
        <v/>
      </c>
    </row>
    <row r="48" ht="18" customHeight="1">
      <c r="A48" s="44" t="n">
        <v>2</v>
      </c>
      <c r="B48" s="45" t="inlineStr">
        <is>
          <t>届け出はしているが、算定していない</t>
        </is>
      </c>
      <c r="C48" s="44">
        <f>COUNTIF('サマリ作成用'!J:J,"届け出はしているが、算定していない")</f>
        <v/>
      </c>
      <c r="D48" s="46">
        <f>IF(C48="","",ROUND(C48/(COUNTA('サマリ作成用'!A:A)-1)*100,1))</f>
        <v/>
      </c>
      <c r="E48" s="44" t="n">
        <v>4</v>
      </c>
      <c r="F48" s="44">
        <f>IF(OR(C48="",E48=""),"",C48-E48)</f>
        <v/>
      </c>
    </row>
    <row r="49" ht="18" customHeight="1">
      <c r="A49" s="41" t="n">
        <v>3</v>
      </c>
      <c r="B49" s="42" t="inlineStr">
        <is>
          <t>届け出はしていないが、現在検討中である</t>
        </is>
      </c>
      <c r="C49" s="41">
        <f>COUNTIF('サマリ作成用'!J:J,"届け出はしていないが、現在検討中である")</f>
        <v/>
      </c>
      <c r="D49" s="43">
        <f>IF(C49="","",ROUND(C49/(COUNTA('サマリ作成用'!A:A)-1)*100,1))</f>
        <v/>
      </c>
      <c r="E49" s="41" t="n">
        <v>90</v>
      </c>
      <c r="F49" s="41">
        <f>IF(OR(C49="",E49=""),"",C49-E49)</f>
        <v/>
      </c>
    </row>
    <row r="50" ht="18" customHeight="1">
      <c r="A50" s="44" t="n">
        <v>4</v>
      </c>
      <c r="B50" s="45" t="inlineStr">
        <is>
          <t>届け出をしておらず、検討もしていない</t>
        </is>
      </c>
      <c r="C50" s="44">
        <f>COUNTIF('サマリ作成用'!J:J,"届け出をしておらず、検討もしていない")</f>
        <v/>
      </c>
      <c r="D50" s="46">
        <f>IF(C50="","",ROUND(C50/(COUNTA('サマリ作成用'!A:A)-1)*100,1))</f>
        <v/>
      </c>
      <c r="E50" s="44" t="n">
        <v>145</v>
      </c>
      <c r="F50" s="44">
        <f>IF(OR(C50="",E50=""),"",C50-E50)</f>
        <v/>
      </c>
    </row>
    <row r="51" ht="20" customHeight="1">
      <c r="A51" s="47" t="inlineStr">
        <is>
          <t>合計</t>
        </is>
      </c>
      <c r="C51" s="47">
        <f>SUM(C47:C50)</f>
        <v/>
      </c>
      <c r="D51" s="48">
        <f>ROUND(C51/(COUNTA('サマリ作成用'!A:A)-1)*100,1)</f>
        <v/>
      </c>
      <c r="E51" s="47" t="inlineStr"/>
      <c r="F51" s="47" t="inlineStr"/>
    </row>
    <row r="52" ht="8" customHeight="1"/>
    <row r="53" ht="24" customHeight="1">
      <c r="A53" s="38" t="inlineStr">
        <is>
          <t>■ Q5. 手術前リハビリテーションで実施している内容【複数選択可】  ※列K</t>
        </is>
      </c>
    </row>
    <row r="54" ht="20" customHeight="1">
      <c r="A54" s="39" t="inlineStr">
        <is>
          <t>Q5 手術前リハ内容（複数選択）</t>
        </is>
      </c>
      <c r="C54" s="39" t="inlineStr">
        <is>
          <t>関数カウント</t>
        </is>
      </c>
      <c r="D54" s="39" t="inlineStr">
        <is>
          <t>割合</t>
        </is>
      </c>
      <c r="E54" s="39" t="inlineStr">
        <is>
          <t>PPTX値</t>
        </is>
      </c>
      <c r="F54" s="39" t="inlineStr">
        <is>
          <t>差分</t>
        </is>
      </c>
    </row>
    <row r="55" ht="22" customHeight="1">
      <c r="A55" s="40" t="inlineStr">
        <is>
          <t>No.</t>
        </is>
      </c>
      <c r="B55" s="40" t="inlineStr">
        <is>
          <t>回答選択肢</t>
        </is>
      </c>
      <c r="C55" s="40" t="inlineStr">
        <is>
          <t>関数カウント</t>
        </is>
      </c>
      <c r="D55" s="40" t="inlineStr">
        <is>
          <t>割合(%)</t>
        </is>
      </c>
      <c r="E55" s="40" t="inlineStr">
        <is>
          <t>PPTX値</t>
        </is>
      </c>
      <c r="F55" s="40" t="inlineStr">
        <is>
          <t>差分(関数-PPTX)</t>
        </is>
      </c>
    </row>
    <row r="56" ht="18" customHeight="1">
      <c r="A56" s="41" t="n">
        <v>1</v>
      </c>
      <c r="B56" s="42" t="inlineStr">
        <is>
          <t>筋力増強運動</t>
        </is>
      </c>
      <c r="C56" s="41">
        <f>COUNTIF('サマリ作成用'!K:K,"*筋力増強運動*")</f>
        <v/>
      </c>
      <c r="D56" s="43">
        <f>IF(C56="","",ROUND(C56/(COUNTA('サマリ作成用'!A:A)-1)*100,1))</f>
        <v/>
      </c>
      <c r="E56" s="41" t="n">
        <v>196</v>
      </c>
      <c r="F56" s="41">
        <f>IF(OR(C56="",E56=""),"",C56-E56)</f>
        <v/>
      </c>
    </row>
    <row r="57" ht="18" customHeight="1">
      <c r="A57" s="44" t="n">
        <v>2</v>
      </c>
      <c r="B57" s="45" t="inlineStr">
        <is>
          <t>関節可動域運動</t>
        </is>
      </c>
      <c r="C57" s="44">
        <f>COUNTIF('サマリ作成用'!K:K,"*関節可動域運動*")</f>
        <v/>
      </c>
      <c r="D57" s="46">
        <f>IF(C57="","",ROUND(C57/(COUNTA('サマリ作成用'!A:A)-1)*100,1))</f>
        <v/>
      </c>
      <c r="E57" s="44" t="n">
        <v>192</v>
      </c>
      <c r="F57" s="44">
        <f>IF(OR(C57="",E57=""),"",C57-E57)</f>
        <v/>
      </c>
    </row>
    <row r="58" ht="18" customHeight="1">
      <c r="A58" s="41" t="n">
        <v>3</v>
      </c>
      <c r="B58" s="42" t="inlineStr">
        <is>
          <t>術後リハビリテーションのオリエンテーション</t>
        </is>
      </c>
      <c r="C58" s="41">
        <f>COUNTIF('サマリ作成用'!K:K,"*術後リハビリテーションのオリエンテーション*")</f>
        <v/>
      </c>
      <c r="D58" s="43">
        <f>IF(C58="","",ROUND(C58/(COUNTA('サマリ作成用'!A:A)-1)*100,1))</f>
        <v/>
      </c>
      <c r="E58" s="41" t="n">
        <v>178</v>
      </c>
      <c r="F58" s="41">
        <f>IF(OR(C58="",E58=""),"",C58-E58)</f>
        <v/>
      </c>
    </row>
    <row r="59" ht="18" customHeight="1">
      <c r="A59" s="44" t="n">
        <v>4</v>
      </c>
      <c r="B59" s="45" t="inlineStr">
        <is>
          <t>ポジショニング</t>
        </is>
      </c>
      <c r="C59" s="44">
        <f>COUNTIF('サマリ作成用'!K:K,"*ポジショニング*")</f>
        <v/>
      </c>
      <c r="D59" s="46">
        <f>IF(C59="","",ROUND(C59/(COUNTA('サマリ作成用'!A:A)-1)*100,1))</f>
        <v/>
      </c>
      <c r="E59" s="44" t="n">
        <v>175</v>
      </c>
      <c r="F59" s="44">
        <f>IF(OR(C59="",E59=""),"",C59-E59)</f>
        <v/>
      </c>
    </row>
    <row r="60" ht="18" customHeight="1">
      <c r="A60" s="41" t="n">
        <v>5</v>
      </c>
      <c r="B60" s="42" t="inlineStr">
        <is>
          <t>DVT予防</t>
        </is>
      </c>
      <c r="C60" s="41">
        <f>COUNTIF('サマリ作成用'!K:K,"*DVT予防*")</f>
        <v/>
      </c>
      <c r="D60" s="43">
        <f>IF(C60="","",ROUND(C60/(COUNTA('サマリ作成用'!A:A)-1)*100,1))</f>
        <v/>
      </c>
      <c r="E60" s="41" t="n">
        <v>171</v>
      </c>
      <c r="F60" s="41">
        <f>IF(OR(C60="",E60=""),"",C60-E60)</f>
        <v/>
      </c>
    </row>
    <row r="61" ht="18" customHeight="1">
      <c r="A61" s="44" t="n">
        <v>6</v>
      </c>
      <c r="B61" s="45" t="inlineStr">
        <is>
          <t>自主運動指導</t>
        </is>
      </c>
      <c r="C61" s="44">
        <f>COUNTIF('サマリ作成用'!K:K,"*自主運動指導*")</f>
        <v/>
      </c>
      <c r="D61" s="46">
        <f>IF(C61="","",ROUND(C61/(COUNTA('サマリ作成用'!A:A)-1)*100,1))</f>
        <v/>
      </c>
      <c r="E61" s="44" t="n">
        <v>169</v>
      </c>
      <c r="F61" s="44">
        <f>IF(OR(C61="",E61=""),"",C61-E61)</f>
        <v/>
      </c>
    </row>
    <row r="62" ht="18" customHeight="1">
      <c r="A62" s="41" t="n">
        <v>7</v>
      </c>
      <c r="B62" s="42" t="inlineStr">
        <is>
          <t>リラクセーション</t>
        </is>
      </c>
      <c r="C62" s="41">
        <f>COUNTIF('サマリ作成用'!K:K,"*リラクセーション*")</f>
        <v/>
      </c>
      <c r="D62" s="43">
        <f>IF(C62="","",ROUND(C62/(COUNTA('サマリ作成用'!A:A)-1)*100,1))</f>
        <v/>
      </c>
      <c r="E62" s="41" t="n">
        <v>106</v>
      </c>
      <c r="F62" s="41">
        <f>IF(OR(C62="",E62=""),"",C62-E62)</f>
        <v/>
      </c>
    </row>
    <row r="63" ht="18" customHeight="1">
      <c r="A63" s="44" t="n">
        <v>8</v>
      </c>
      <c r="B63" s="45" t="inlineStr">
        <is>
          <t>離床（例：車椅子移乗,立位,歩行など）</t>
        </is>
      </c>
      <c r="C63" s="44">
        <f>COUNTIF('サマリ作成用'!K:K,"*離床*")</f>
        <v/>
      </c>
      <c r="D63" s="46">
        <f>IF(C63="","",ROUND(C63/(COUNTA('サマリ作成用'!A:A)-1)*100,1))</f>
        <v/>
      </c>
      <c r="E63" s="44" t="n">
        <v>80</v>
      </c>
      <c r="F63" s="44">
        <f>IF(OR(C63="",E63=""),"",C63-E63)</f>
        <v/>
      </c>
    </row>
    <row r="64" ht="18" customHeight="1">
      <c r="A64" s="41" t="n">
        <v>9</v>
      </c>
      <c r="B64" s="42" t="inlineStr">
        <is>
          <t>呼吸リハビリテーション</t>
        </is>
      </c>
      <c r="C64" s="41">
        <f>COUNTIF('サマリ作成用'!K:K,"*呼吸リハビリテーション*")</f>
        <v/>
      </c>
      <c r="D64" s="43">
        <f>IF(C64="","",ROUND(C64/(COUNTA('サマリ作成用'!A:A)-1)*100,1))</f>
        <v/>
      </c>
      <c r="E64" s="41" t="n">
        <v>69</v>
      </c>
      <c r="F64" s="41">
        <f>IF(OR(C64="",E64=""),"",C64-E64)</f>
        <v/>
      </c>
    </row>
    <row r="65" ht="18" customHeight="1">
      <c r="A65" s="44" t="n">
        <v>10</v>
      </c>
      <c r="B65" s="45" t="inlineStr">
        <is>
          <t>実施していない</t>
        </is>
      </c>
      <c r="C65" s="44">
        <f>COUNTIF('サマリ作成用'!K:K,"*実施していない*")</f>
        <v/>
      </c>
      <c r="D65" s="46">
        <f>IF(C65="","",ROUND(C65/(COUNTA('サマリ作成用'!A:A)-1)*100,1))</f>
        <v/>
      </c>
      <c r="E65" s="44" t="n">
        <v>55</v>
      </c>
      <c r="F65" s="44">
        <f>IF(OR(C65="",E65=""),"",C65-E65)</f>
        <v/>
      </c>
    </row>
    <row r="66" ht="18" customHeight="1">
      <c r="A66" s="41" t="n">
        <v>11</v>
      </c>
      <c r="B66" s="42" t="inlineStr">
        <is>
          <t>その他（上記以外の自由記述）</t>
        </is>
      </c>
      <c r="C66" s="41">
        <f>COUNTIF('サマリ作成用'!K:K,"*")-COUNTIF('サマリ作成用'!K:K,"*筋力増強運動*")-COUNTIF('サマリ作成用'!K:K,"*関節可動域運動*")-COUNTIF('サマリ作成用'!K:K,"*術後リハビリテーションのオリエンテーション*")-COUNTIF('サマリ作成用'!K:K,"*ポジショニング*")-COUNTIF('サマリ作成用'!K:K,"*DVT予防*")-COUNTIF('サマリ作成用'!K:K,"*自主運動指導*")-COUNTIF('サマリ作成用'!K:K,"*リラクセーション*")-COUNTIF('サマリ作成用'!K:K,"*離床*")-COUNTIF('サマリ作成用'!K:K,"*呼吸リハビリテーション*")-COUNTIF('サマリ作成用'!K:K,"*実施していない*")</f>
        <v/>
      </c>
      <c r="D66" s="43">
        <f>IF(C66="","",ROUND(C66/(COUNTA('サマリ作成用'!A:A)-1)*100,1))</f>
        <v/>
      </c>
      <c r="E66" s="41" t="n">
        <v>18</v>
      </c>
      <c r="F66" s="41">
        <f>IF(OR(C66="",E66=""),"",C66-E66)</f>
        <v/>
      </c>
    </row>
    <row r="67" ht="20" customHeight="1">
      <c r="A67" s="47" t="inlineStr">
        <is>
          <t>合計（複数選択のため有効回答数を超える）</t>
        </is>
      </c>
      <c r="C67" s="47">
        <f>SUM(C56:C66)</f>
        <v/>
      </c>
      <c r="D67" s="47" t="inlineStr"/>
      <c r="E67" s="47" t="inlineStr"/>
      <c r="F67" s="47" t="inlineStr"/>
    </row>
    <row r="68" ht="8" customHeight="1"/>
    <row r="69" ht="24" customHeight="1">
      <c r="A69" s="38" t="inlineStr">
        <is>
          <t>■ Q6. 身体機能（疼痛、筋力低下など）が原因による制限【4段階評価】  ※列L</t>
        </is>
      </c>
    </row>
    <row r="70" ht="20" customHeight="1">
      <c r="A70" s="39" t="inlineStr">
        <is>
          <t>Q6 身体機能制限（単一選択）</t>
        </is>
      </c>
      <c r="C70" s="39" t="inlineStr">
        <is>
          <t>関数カウント</t>
        </is>
      </c>
      <c r="D70" s="39" t="inlineStr">
        <is>
          <t>割合</t>
        </is>
      </c>
      <c r="E70" s="39" t="inlineStr">
        <is>
          <t>PPTX値</t>
        </is>
      </c>
      <c r="F70" s="39" t="inlineStr">
        <is>
          <t>差分</t>
        </is>
      </c>
    </row>
    <row r="71" ht="22" customHeight="1">
      <c r="A71" s="40" t="inlineStr">
        <is>
          <t>No.</t>
        </is>
      </c>
      <c r="B71" s="40" t="inlineStr">
        <is>
          <t>回答選択肢</t>
        </is>
      </c>
      <c r="C71" s="40" t="inlineStr">
        <is>
          <t>関数カウント</t>
        </is>
      </c>
      <c r="D71" s="40" t="inlineStr">
        <is>
          <t>割合(%)</t>
        </is>
      </c>
      <c r="E71" s="40" t="inlineStr">
        <is>
          <t>PPTX値</t>
        </is>
      </c>
      <c r="F71" s="40" t="inlineStr">
        <is>
          <t>差分(関数-PPTX)</t>
        </is>
      </c>
    </row>
    <row r="72" ht="18" customHeight="1">
      <c r="A72" s="41" t="n">
        <v>1</v>
      </c>
      <c r="B72" s="42" t="inlineStr">
        <is>
          <t>全症例の0％〜24％程度</t>
        </is>
      </c>
      <c r="C72" s="41">
        <f>COUNTIF('サマリ作成用'!L:L,"全症例の0％〜24％程度")</f>
        <v/>
      </c>
      <c r="D72" s="43">
        <f>IF(C72="","",ROUND(C72/(COUNTA('サマリ作成用'!A:A)-1)*100,1))</f>
        <v/>
      </c>
      <c r="E72" s="41" t="n">
        <v>107</v>
      </c>
      <c r="F72" s="41">
        <f>IF(OR(C72="",E72=""),"",C72-E72)</f>
        <v/>
      </c>
    </row>
    <row r="73" ht="18" customHeight="1">
      <c r="A73" s="44" t="n">
        <v>2</v>
      </c>
      <c r="B73" s="45" t="inlineStr">
        <is>
          <t>全症例の25％〜49％程度</t>
        </is>
      </c>
      <c r="C73" s="44">
        <f>COUNTIF('サマリ作成用'!L:L,"全症例の25％〜49％程度")</f>
        <v/>
      </c>
      <c r="D73" s="46">
        <f>IF(C73="","",ROUND(C73/(COUNTA('サマリ作成用'!A:A)-1)*100,1))</f>
        <v/>
      </c>
      <c r="E73" s="44" t="n">
        <v>84</v>
      </c>
      <c r="F73" s="44">
        <f>IF(OR(C73="",E73=""),"",C73-E73)</f>
        <v/>
      </c>
    </row>
    <row r="74" ht="18" customHeight="1">
      <c r="A74" s="41" t="n">
        <v>3</v>
      </c>
      <c r="B74" s="42" t="inlineStr">
        <is>
          <t>全症例の50％〜74％程度</t>
        </is>
      </c>
      <c r="C74" s="41">
        <f>COUNTIF('サマリ作成用'!L:L,"全症例の50％〜74％程度")</f>
        <v/>
      </c>
      <c r="D74" s="43">
        <f>IF(C74="","",ROUND(C74/(COUNTA('サマリ作成用'!A:A)-1)*100,1))</f>
        <v/>
      </c>
      <c r="E74" s="41" t="n">
        <v>53</v>
      </c>
      <c r="F74" s="41">
        <f>IF(OR(C74="",E74=""),"",C74-E74)</f>
        <v/>
      </c>
    </row>
    <row r="75" ht="18" customHeight="1">
      <c r="A75" s="44" t="n">
        <v>4</v>
      </c>
      <c r="B75" s="45" t="inlineStr">
        <is>
          <t>全症例の75％〜100％程度</t>
        </is>
      </c>
      <c r="C75" s="44">
        <f>COUNTIF('サマリ作成用'!L:L,"全症例の75％〜100％程度")</f>
        <v/>
      </c>
      <c r="D75" s="46">
        <f>IF(C75="","",ROUND(C75/(COUNTA('サマリ作成用'!A:A)-1)*100,1))</f>
        <v/>
      </c>
      <c r="E75" s="44" t="n">
        <v>45</v>
      </c>
      <c r="F75" s="44">
        <f>IF(OR(C75="",E75=""),"",C75-E75)</f>
        <v/>
      </c>
    </row>
    <row r="76" ht="20" customHeight="1">
      <c r="A76" s="47" t="inlineStr">
        <is>
          <t>合計</t>
        </is>
      </c>
      <c r="C76" s="47">
        <f>SUM(C72:C75)</f>
        <v/>
      </c>
      <c r="D76" s="48">
        <f>ROUND(C76/(COUNTA('サマリ作成用'!A:A)-1)*100,1)</f>
        <v/>
      </c>
      <c r="E76" s="47" t="inlineStr"/>
      <c r="F76" s="47" t="inlineStr"/>
    </row>
    <row r="77" ht="8" customHeight="1"/>
    <row r="78" ht="24" customHeight="1">
      <c r="A78" s="38" t="inlineStr">
        <is>
          <t>■ Q7. 精神・認知機能（認知機能低下、せん妄など）が原因による制限【4段階評価】  ※列N</t>
        </is>
      </c>
    </row>
    <row r="79" ht="20" customHeight="1">
      <c r="A79" s="39" t="inlineStr">
        <is>
          <t>Q7 精神・認知機能制限（単一選択）</t>
        </is>
      </c>
      <c r="C79" s="39" t="inlineStr">
        <is>
          <t>関数カウント</t>
        </is>
      </c>
      <c r="D79" s="39" t="inlineStr">
        <is>
          <t>割合</t>
        </is>
      </c>
      <c r="E79" s="39" t="inlineStr">
        <is>
          <t>PPTX値</t>
        </is>
      </c>
      <c r="F79" s="39" t="inlineStr">
        <is>
          <t>差分</t>
        </is>
      </c>
    </row>
    <row r="80" ht="22" customHeight="1">
      <c r="A80" s="40" t="inlineStr">
        <is>
          <t>No.</t>
        </is>
      </c>
      <c r="B80" s="40" t="inlineStr">
        <is>
          <t>回答選択肢</t>
        </is>
      </c>
      <c r="C80" s="40" t="inlineStr">
        <is>
          <t>関数カウント</t>
        </is>
      </c>
      <c r="D80" s="40" t="inlineStr">
        <is>
          <t>割合(%)</t>
        </is>
      </c>
      <c r="E80" s="40" t="inlineStr">
        <is>
          <t>PPTX値</t>
        </is>
      </c>
      <c r="F80" s="40" t="inlineStr">
        <is>
          <t>差分(関数-PPTX)</t>
        </is>
      </c>
    </row>
    <row r="81" ht="18" customHeight="1">
      <c r="A81" s="41" t="n">
        <v>1</v>
      </c>
      <c r="B81" s="42" t="inlineStr">
        <is>
          <t>全症例の0％〜24％程度</t>
        </is>
      </c>
      <c r="C81" s="41">
        <f>COUNTIF('サマリ作成用'!N:N,"全症例の0％〜24％程度")</f>
        <v/>
      </c>
      <c r="D81" s="43">
        <f>IF(C81="","",ROUND(C81/(COUNTA('サマリ作成用'!A:A)-1)*100,1))</f>
        <v/>
      </c>
      <c r="E81" s="41" t="n">
        <v>192</v>
      </c>
      <c r="F81" s="41">
        <f>IF(OR(C81="",E81=""),"",C81-E81)</f>
        <v/>
      </c>
    </row>
    <row r="82" ht="18" customHeight="1">
      <c r="A82" s="44" t="n">
        <v>2</v>
      </c>
      <c r="B82" s="45" t="inlineStr">
        <is>
          <t>全症例の25％〜49％程度</t>
        </is>
      </c>
      <c r="C82" s="44">
        <f>COUNTIF('サマリ作成用'!N:N,"全症例の25％〜49％程度")</f>
        <v/>
      </c>
      <c r="D82" s="46">
        <f>IF(C82="","",ROUND(C82/(COUNTA('サマリ作成用'!A:A)-1)*100,1))</f>
        <v/>
      </c>
      <c r="E82" s="44" t="n">
        <v>78</v>
      </c>
      <c r="F82" s="44">
        <f>IF(OR(C82="",E82=""),"",C82-E82)</f>
        <v/>
      </c>
    </row>
    <row r="83" ht="18" customHeight="1">
      <c r="A83" s="41" t="n">
        <v>3</v>
      </c>
      <c r="B83" s="42" t="inlineStr">
        <is>
          <t>全症例の50％〜74％程度</t>
        </is>
      </c>
      <c r="C83" s="41">
        <f>COUNTIF('サマリ作成用'!N:N,"全症例の50％〜74％程度")</f>
        <v/>
      </c>
      <c r="D83" s="43">
        <f>IF(C83="","",ROUND(C83/(COUNTA('サマリ作成用'!A:A)-1)*100,1))</f>
        <v/>
      </c>
      <c r="E83" s="41" t="n">
        <v>18</v>
      </c>
      <c r="F83" s="41">
        <f>IF(OR(C83="",E83=""),"",C83-E83)</f>
        <v/>
      </c>
    </row>
    <row r="84" ht="18" customHeight="1">
      <c r="A84" s="44" t="n">
        <v>4</v>
      </c>
      <c r="B84" s="45" t="inlineStr">
        <is>
          <t>全症例の75％〜100％程度</t>
        </is>
      </c>
      <c r="C84" s="44">
        <f>COUNTIF('サマリ作成用'!N:N,"全症例の75％〜100％程度")</f>
        <v/>
      </c>
      <c r="D84" s="46">
        <f>IF(C84="","",ROUND(C84/(COUNTA('サマリ作成用'!A:A)-1)*100,1))</f>
        <v/>
      </c>
      <c r="E84" s="44" t="n">
        <v>1</v>
      </c>
      <c r="F84" s="44">
        <f>IF(OR(C84="",E84=""),"",C84-E84)</f>
        <v/>
      </c>
    </row>
    <row r="85" ht="20" customHeight="1">
      <c r="A85" s="47" t="inlineStr">
        <is>
          <t>合計</t>
        </is>
      </c>
      <c r="C85" s="47">
        <f>SUM(C81:C84)</f>
        <v/>
      </c>
      <c r="D85" s="48">
        <f>ROUND(C85/(COUNTA('サマリ作成用'!A:A)-1)*100,1)</f>
        <v/>
      </c>
      <c r="E85" s="47" t="inlineStr"/>
      <c r="F85" s="47" t="inlineStr"/>
    </row>
    <row r="86" ht="8" customHeight="1"/>
    <row r="87" ht="24" customHeight="1">
      <c r="A87" s="38" t="inlineStr">
        <is>
          <t>■ Q8. 全身状態（呼吸・循環障害、貧血、電解質異常など）が原因による制限【4段階評価】  ※列P</t>
        </is>
      </c>
    </row>
    <row r="88" ht="20" customHeight="1">
      <c r="A88" s="39" t="inlineStr">
        <is>
          <t>Q8 全身状態制限（単一選択）</t>
        </is>
      </c>
      <c r="C88" s="39" t="inlineStr">
        <is>
          <t>関数カウント</t>
        </is>
      </c>
      <c r="D88" s="39" t="inlineStr">
        <is>
          <t>割合</t>
        </is>
      </c>
      <c r="E88" s="39" t="inlineStr">
        <is>
          <t>PPTX値</t>
        </is>
      </c>
      <c r="F88" s="39" t="inlineStr">
        <is>
          <t>差分</t>
        </is>
      </c>
    </row>
    <row r="89" ht="22" customHeight="1">
      <c r="A89" s="40" t="inlineStr">
        <is>
          <t>No.</t>
        </is>
      </c>
      <c r="B89" s="40" t="inlineStr">
        <is>
          <t>回答選択肢</t>
        </is>
      </c>
      <c r="C89" s="40" t="inlineStr">
        <is>
          <t>関数カウント</t>
        </is>
      </c>
      <c r="D89" s="40" t="inlineStr">
        <is>
          <t>割合(%)</t>
        </is>
      </c>
      <c r="E89" s="40" t="inlineStr">
        <is>
          <t>PPTX値</t>
        </is>
      </c>
      <c r="F89" s="40" t="inlineStr">
        <is>
          <t>差分(関数-PPTX)</t>
        </is>
      </c>
    </row>
    <row r="90" ht="18" customHeight="1">
      <c r="A90" s="41" t="n">
        <v>1</v>
      </c>
      <c r="B90" s="42" t="inlineStr">
        <is>
          <t>全症例の0％〜24％程度</t>
        </is>
      </c>
      <c r="C90" s="41">
        <f>COUNTIF('サマリ作成用'!P:P,"全症例の0％〜24％程度")</f>
        <v/>
      </c>
      <c r="D90" s="43">
        <f>IF(C90="","",ROUND(C90/(COUNTA('サマリ作成用'!A:A)-1)*100,1))</f>
        <v/>
      </c>
      <c r="E90" s="41" t="n">
        <v>228</v>
      </c>
      <c r="F90" s="41">
        <f>IF(OR(C90="",E90=""),"",C90-E90)</f>
        <v/>
      </c>
    </row>
    <row r="91" ht="18" customHeight="1">
      <c r="A91" s="44" t="n">
        <v>2</v>
      </c>
      <c r="B91" s="45" t="inlineStr">
        <is>
          <t>全症例の25％〜49％程度</t>
        </is>
      </c>
      <c r="C91" s="44">
        <f>COUNTIF('サマリ作成用'!P:P,"全症例の25％〜49％程度")</f>
        <v/>
      </c>
      <c r="D91" s="46">
        <f>IF(C91="","",ROUND(C91/(COUNTA('サマリ作成用'!A:A)-1)*100,1))</f>
        <v/>
      </c>
      <c r="E91" s="44" t="n">
        <v>55</v>
      </c>
      <c r="F91" s="44">
        <f>IF(OR(C91="",E91=""),"",C91-E91)</f>
        <v/>
      </c>
    </row>
    <row r="92" ht="18" customHeight="1">
      <c r="A92" s="41" t="n">
        <v>3</v>
      </c>
      <c r="B92" s="42" t="inlineStr">
        <is>
          <t>全症例の50％〜74％程度</t>
        </is>
      </c>
      <c r="C92" s="41">
        <f>COUNTIF('サマリ作成用'!P:P,"全症例の50％〜74％程度")</f>
        <v/>
      </c>
      <c r="D92" s="43">
        <f>IF(C92="","",ROUND(C92/(COUNTA('サマリ作成用'!A:A)-1)*100,1))</f>
        <v/>
      </c>
      <c r="E92" s="41" t="n">
        <v>4</v>
      </c>
      <c r="F92" s="41">
        <f>IF(OR(C92="",E92=""),"",C92-E92)</f>
        <v/>
      </c>
    </row>
    <row r="93" ht="18" customHeight="1">
      <c r="A93" s="44" t="n">
        <v>4</v>
      </c>
      <c r="B93" s="45" t="inlineStr">
        <is>
          <t>全症例の75％〜100％程度</t>
        </is>
      </c>
      <c r="C93" s="44">
        <f>COUNTIF('サマリ作成用'!P:P,"全症例の75％〜100％程度")</f>
        <v/>
      </c>
      <c r="D93" s="46">
        <f>IF(C93="","",ROUND(C93/(COUNTA('サマリ作成用'!A:A)-1)*100,1))</f>
        <v/>
      </c>
      <c r="E93" s="44" t="n">
        <v>2</v>
      </c>
      <c r="F93" s="44">
        <f>IF(OR(C93="",E93=""),"",C93-E93)</f>
        <v/>
      </c>
    </row>
    <row r="94" ht="20" customHeight="1">
      <c r="A94" s="47" t="inlineStr">
        <is>
          <t>合計</t>
        </is>
      </c>
      <c r="C94" s="47">
        <f>SUM(C90:C93)</f>
        <v/>
      </c>
      <c r="D94" s="48">
        <f>ROUND(C94/(COUNTA('サマリ作成用'!A:A)-1)*100,1)</f>
        <v/>
      </c>
      <c r="E94" s="47" t="inlineStr"/>
      <c r="F94" s="47" t="inlineStr"/>
    </row>
    <row r="95" ht="8" customHeight="1"/>
    <row r="96" ht="24" customHeight="1">
      <c r="A96" s="38" t="inlineStr">
        <is>
          <t>■ Q9. 環境的要因（ベッド配置、病室環境、動線など）が原因による制限【4段階評価】  ※列R</t>
        </is>
      </c>
    </row>
    <row r="97" ht="20" customHeight="1">
      <c r="A97" s="39" t="inlineStr">
        <is>
          <t>Q9 環境的要因制限（単一選択）</t>
        </is>
      </c>
      <c r="C97" s="39" t="inlineStr">
        <is>
          <t>関数カウント</t>
        </is>
      </c>
      <c r="D97" s="39" t="inlineStr">
        <is>
          <t>割合</t>
        </is>
      </c>
      <c r="E97" s="39" t="inlineStr">
        <is>
          <t>PPTX値</t>
        </is>
      </c>
      <c r="F97" s="39" t="inlineStr">
        <is>
          <t>差分</t>
        </is>
      </c>
    </row>
    <row r="98" ht="22" customHeight="1">
      <c r="A98" s="40" t="inlineStr">
        <is>
          <t>No.</t>
        </is>
      </c>
      <c r="B98" s="40" t="inlineStr">
        <is>
          <t>回答選択肢</t>
        </is>
      </c>
      <c r="C98" s="40" t="inlineStr">
        <is>
          <t>関数カウント</t>
        </is>
      </c>
      <c r="D98" s="40" t="inlineStr">
        <is>
          <t>割合(%)</t>
        </is>
      </c>
      <c r="E98" s="40" t="inlineStr">
        <is>
          <t>PPTX値</t>
        </is>
      </c>
      <c r="F98" s="40" t="inlineStr">
        <is>
          <t>差分(関数-PPTX)</t>
        </is>
      </c>
    </row>
    <row r="99" ht="18" customHeight="1">
      <c r="A99" s="41" t="n">
        <v>1</v>
      </c>
      <c r="B99" s="42" t="inlineStr">
        <is>
          <t>全症例の0％〜24％程度</t>
        </is>
      </c>
      <c r="C99" s="41">
        <f>COUNTIF('サマリ作成用'!R:R,"全症例の0％〜24％程度")</f>
        <v/>
      </c>
      <c r="D99" s="43">
        <f>IF(C99="","",ROUND(C99/(COUNTA('サマリ作成用'!A:A)-1)*100,1))</f>
        <v/>
      </c>
      <c r="E99" s="41" t="n">
        <v>271</v>
      </c>
      <c r="F99" s="41">
        <f>IF(OR(C99="",E99=""),"",C99-E99)</f>
        <v/>
      </c>
    </row>
    <row r="100" ht="18" customHeight="1">
      <c r="A100" s="44" t="n">
        <v>2</v>
      </c>
      <c r="B100" s="45" t="inlineStr">
        <is>
          <t>全症例の25％〜49％程度</t>
        </is>
      </c>
      <c r="C100" s="44">
        <f>COUNTIF('サマリ作成用'!R:R,"全症例の25％〜49％程度")</f>
        <v/>
      </c>
      <c r="D100" s="46">
        <f>IF(C100="","",ROUND(C100/(COUNTA('サマリ作成用'!A:A)-1)*100,1))</f>
        <v/>
      </c>
      <c r="E100" s="44" t="n">
        <v>15</v>
      </c>
      <c r="F100" s="44">
        <f>IF(OR(C100="",E100=""),"",C100-E100)</f>
        <v/>
      </c>
    </row>
    <row r="101" ht="18" customHeight="1">
      <c r="A101" s="41" t="n">
        <v>3</v>
      </c>
      <c r="B101" s="42" t="inlineStr">
        <is>
          <t>全症例の50％〜74％程度</t>
        </is>
      </c>
      <c r="C101" s="41">
        <f>COUNTIF('サマリ作成用'!R:R,"全症例の50％〜74％程度")</f>
        <v/>
      </c>
      <c r="D101" s="43">
        <f>IF(C101="","",ROUND(C101/(COUNTA('サマリ作成用'!A:A)-1)*100,1))</f>
        <v/>
      </c>
      <c r="E101" s="41" t="n">
        <v>0</v>
      </c>
      <c r="F101" s="41">
        <f>IF(OR(C101="",E101=""),"",C101-E101)</f>
        <v/>
      </c>
    </row>
    <row r="102" ht="18" customHeight="1">
      <c r="A102" s="44" t="n">
        <v>4</v>
      </c>
      <c r="B102" s="45" t="inlineStr">
        <is>
          <t>全症例の75％〜100％程度</t>
        </is>
      </c>
      <c r="C102" s="44">
        <f>COUNTIF('サマリ作成用'!R:R,"全症例の75％〜100％程度")</f>
        <v/>
      </c>
      <c r="D102" s="46">
        <f>IF(C102="","",ROUND(C102/(COUNTA('サマリ作成用'!A:A)-1)*100,1))</f>
        <v/>
      </c>
      <c r="E102" s="44" t="n">
        <v>3</v>
      </c>
      <c r="F102" s="44">
        <f>IF(OR(C102="",E102=""),"",C102-E102)</f>
        <v/>
      </c>
    </row>
    <row r="103" ht="20" customHeight="1">
      <c r="A103" s="47" t="inlineStr">
        <is>
          <t>合計</t>
        </is>
      </c>
      <c r="C103" s="47">
        <f>SUM(C99:C102)</f>
        <v/>
      </c>
      <c r="D103" s="48">
        <f>ROUND(C103/(COUNTA('サマリ作成用'!A:A)-1)*100,1)</f>
        <v/>
      </c>
      <c r="E103" s="47" t="inlineStr"/>
      <c r="F103" s="47" t="inlineStr"/>
    </row>
    <row r="104" ht="8" customHeight="1"/>
    <row r="105" ht="24" customHeight="1">
      <c r="A105" s="38" t="inlineStr">
        <is>
          <t>■ Q10. サルコペニアの評価項目【複数選択可】  ※列T</t>
        </is>
      </c>
    </row>
    <row r="106" ht="20" customHeight="1">
      <c r="A106" s="39" t="inlineStr">
        <is>
          <t>Q10 サルコペニア評価（複数選択）</t>
        </is>
      </c>
      <c r="C106" s="39" t="inlineStr">
        <is>
          <t>関数カウント</t>
        </is>
      </c>
      <c r="D106" s="39" t="inlineStr">
        <is>
          <t>割合</t>
        </is>
      </c>
      <c r="E106" s="39" t="inlineStr">
        <is>
          <t>PPTX値</t>
        </is>
      </c>
      <c r="F106" s="39" t="inlineStr">
        <is>
          <t>差分</t>
        </is>
      </c>
    </row>
    <row r="107" ht="22" customHeight="1">
      <c r="A107" s="40" t="inlineStr">
        <is>
          <t>No.</t>
        </is>
      </c>
      <c r="B107" s="40" t="inlineStr">
        <is>
          <t>回答選択肢</t>
        </is>
      </c>
      <c r="C107" s="40" t="inlineStr">
        <is>
          <t>関数カウント</t>
        </is>
      </c>
      <c r="D107" s="40" t="inlineStr">
        <is>
          <t>割合(%)</t>
        </is>
      </c>
      <c r="E107" s="40" t="inlineStr">
        <is>
          <t>PPTX値</t>
        </is>
      </c>
      <c r="F107" s="40" t="inlineStr">
        <is>
          <t>差分(関数-PPTX)</t>
        </is>
      </c>
    </row>
    <row r="108" ht="18" customHeight="1">
      <c r="A108" s="41" t="n">
        <v>1</v>
      </c>
      <c r="B108" s="42" t="inlineStr">
        <is>
          <t>握力</t>
        </is>
      </c>
      <c r="C108" s="41">
        <f>COUNTIF('サマリ作成用'!T:T,"*握力*")</f>
        <v/>
      </c>
      <c r="D108" s="43">
        <f>IF(C108="","",ROUND(C108/(COUNTA('サマリ作成用'!A:A)-1)*100,1))</f>
        <v/>
      </c>
      <c r="E108" s="41" t="n">
        <v>169</v>
      </c>
      <c r="F108" s="41">
        <f>IF(OR(C108="",E108=""),"",C108-E108)</f>
        <v/>
      </c>
    </row>
    <row r="109" ht="18" customHeight="1">
      <c r="A109" s="44" t="n">
        <v>2</v>
      </c>
      <c r="B109" s="45" t="inlineStr">
        <is>
          <t>歩行速度</t>
        </is>
      </c>
      <c r="C109" s="44">
        <f>COUNTIF('サマリ作成用'!T:T,"*歩行速度*")</f>
        <v/>
      </c>
      <c r="D109" s="46">
        <f>IF(C109="","",ROUND(C109/(COUNTA('サマリ作成用'!A:A)-1)*100,1))</f>
        <v/>
      </c>
      <c r="E109" s="44" t="n">
        <v>124</v>
      </c>
      <c r="F109" s="44">
        <f>IF(OR(C109="",E109=""),"",C109-E109)</f>
        <v/>
      </c>
    </row>
    <row r="110" ht="18" customHeight="1">
      <c r="A110" s="41" t="n">
        <v>3</v>
      </c>
      <c r="B110" s="42" t="inlineStr">
        <is>
          <t>下腿周径</t>
        </is>
      </c>
      <c r="C110" s="41">
        <f>COUNTIF('サマリ作成用'!T:T,"*下腿周径*")</f>
        <v/>
      </c>
      <c r="D110" s="43">
        <f>IF(C110="","",ROUND(C110/(COUNTA('サマリ作成用'!A:A)-1)*100,1))</f>
        <v/>
      </c>
      <c r="E110" s="41" t="n">
        <v>115</v>
      </c>
      <c r="F110" s="41">
        <f>IF(OR(C110="",E110=""),"",C110-E110)</f>
        <v/>
      </c>
    </row>
    <row r="111" ht="18" customHeight="1">
      <c r="A111" s="44" t="n">
        <v>4</v>
      </c>
      <c r="B111" s="45" t="inlineStr">
        <is>
          <t>TUG</t>
        </is>
      </c>
      <c r="C111" s="44">
        <f>COUNTIF('サマリ作成用'!T:T,"*TUG*")</f>
        <v/>
      </c>
      <c r="D111" s="46">
        <f>IF(C111="","",ROUND(C111/(COUNTA('サマリ作成用'!A:A)-1)*100,1))</f>
        <v/>
      </c>
      <c r="E111" s="44" t="n">
        <v>111</v>
      </c>
      <c r="F111" s="44">
        <f>IF(OR(C111="",E111=""),"",C111-E111)</f>
        <v/>
      </c>
    </row>
    <row r="112" ht="18" customHeight="1">
      <c r="A112" s="41" t="n">
        <v>5</v>
      </c>
      <c r="B112" s="42" t="inlineStr">
        <is>
          <t>膝伸展筋力</t>
        </is>
      </c>
      <c r="C112" s="41">
        <f>COUNTIF('サマリ作成用'!T:T,"*膝伸展筋力*")</f>
        <v/>
      </c>
      <c r="D112" s="43">
        <f>IF(C112="","",ROUND(C112/(COUNTA('サマリ作成用'!A:A)-1)*100,1))</f>
        <v/>
      </c>
      <c r="E112" s="41" t="n">
        <v>111</v>
      </c>
      <c r="F112" s="41">
        <f>IF(OR(C112="",E112=""),"",C112-E112)</f>
        <v/>
      </c>
    </row>
    <row r="113" ht="18" customHeight="1">
      <c r="A113" s="44" t="n">
        <v>6</v>
      </c>
      <c r="B113" s="45" t="inlineStr">
        <is>
          <t>開眼片脚立位時間</t>
        </is>
      </c>
      <c r="C113" s="44">
        <f>COUNTIF('サマリ作成用'!T:T,"*開眼片脚立位時間*")</f>
        <v/>
      </c>
      <c r="D113" s="46">
        <f>IF(C113="","",ROUND(C113/(COUNTA('サマリ作成用'!A:A)-1)*100,1))</f>
        <v/>
      </c>
      <c r="E113" s="44" t="n">
        <v>77</v>
      </c>
      <c r="F113" s="44">
        <f>IF(OR(C113="",E113=""),"",C113-E113)</f>
        <v/>
      </c>
    </row>
    <row r="114" ht="18" customHeight="1">
      <c r="A114" s="41" t="n">
        <v>7</v>
      </c>
      <c r="B114" s="42" t="inlineStr">
        <is>
          <t>5回椅子立ち上がりテスト</t>
        </is>
      </c>
      <c r="C114" s="41">
        <f>COUNTIF('サマリ作成用'!T:T,"*5回椅子立ち上がりテスト*")</f>
        <v/>
      </c>
      <c r="D114" s="43">
        <f>IF(C114="","",ROUND(C114/(COUNTA('サマリ作成用'!A:A)-1)*100,1))</f>
        <v/>
      </c>
      <c r="E114" s="41" t="n">
        <v>75</v>
      </c>
      <c r="F114" s="41">
        <f>IF(OR(C114="",E114=""),"",C114-E114)</f>
        <v/>
      </c>
    </row>
    <row r="115" ht="18" customHeight="1">
      <c r="A115" s="44" t="n">
        <v>8</v>
      </c>
      <c r="B115" s="45" t="inlineStr">
        <is>
          <t>SPPB</t>
        </is>
      </c>
      <c r="C115" s="44">
        <f>COUNTIF('サマリ作成用'!T:T,"*SPPB*")</f>
        <v/>
      </c>
      <c r="D115" s="46">
        <f>IF(C115="","",ROUND(C115/(COUNTA('サマリ作成用'!A:A)-1)*100,1))</f>
        <v/>
      </c>
      <c r="E115" s="44" t="n">
        <v>67</v>
      </c>
      <c r="F115" s="44">
        <f>IF(OR(C115="",E115=""),"",C115-E115)</f>
        <v/>
      </c>
    </row>
    <row r="116" ht="18" customHeight="1">
      <c r="A116" s="41" t="n">
        <v>9</v>
      </c>
      <c r="B116" s="42" t="inlineStr">
        <is>
          <t>実施していない</t>
        </is>
      </c>
      <c r="C116" s="41">
        <f>COUNTIF('サマリ作成用'!T:T,"*実施していない*")</f>
        <v/>
      </c>
      <c r="D116" s="43">
        <f>IF(C116="","",ROUND(C116/(COUNTA('サマリ作成用'!A:A)-1)*100,1))</f>
        <v/>
      </c>
      <c r="E116" s="41" t="n">
        <v>55</v>
      </c>
      <c r="F116" s="41">
        <f>IF(OR(C116="",E116=""),"",C116-E116)</f>
        <v/>
      </c>
    </row>
    <row r="117" ht="18" customHeight="1">
      <c r="A117" s="44" t="n">
        <v>10</v>
      </c>
      <c r="B117" s="45" t="inlineStr">
        <is>
          <t>6分間歩行距離</t>
        </is>
      </c>
      <c r="C117" s="44">
        <f>COUNTIF('サマリ作成用'!T:T,"*6分間歩行距離*")</f>
        <v/>
      </c>
      <c r="D117" s="46">
        <f>IF(C117="","",ROUND(C117/(COUNTA('サマリ作成用'!A:A)-1)*100,1))</f>
        <v/>
      </c>
      <c r="E117" s="44" t="n">
        <v>35</v>
      </c>
      <c r="F117" s="44">
        <f>IF(OR(C117="",E117=""),"",C117-E117)</f>
        <v/>
      </c>
    </row>
    <row r="118" ht="18" customHeight="1">
      <c r="A118" s="41" t="n">
        <v>11</v>
      </c>
      <c r="B118" s="42" t="inlineStr">
        <is>
          <t>骨格筋量指数（SMI）</t>
        </is>
      </c>
      <c r="C118" s="41">
        <f>COUNTIF('サマリ作成用'!T:T,"*骨格筋量指数*")</f>
        <v/>
      </c>
      <c r="D118" s="43">
        <f>IF(C118="","",ROUND(C118/(COUNTA('サマリ作成用'!A:A)-1)*100,1))</f>
        <v/>
      </c>
      <c r="E118" s="41" t="n">
        <v>23</v>
      </c>
      <c r="F118" s="41">
        <f>IF(OR(C118="",E118=""),"",C118-E118)</f>
        <v/>
      </c>
    </row>
    <row r="119" ht="18" customHeight="1">
      <c r="A119" s="44" t="n">
        <v>12</v>
      </c>
      <c r="B119" s="45" t="inlineStr">
        <is>
          <t>GNRI</t>
        </is>
      </c>
      <c r="C119" s="44">
        <f>COUNTIF('サマリ作成用'!T:T,"*GNRI*")</f>
        <v/>
      </c>
      <c r="D119" s="46">
        <f>IF(C119="","",ROUND(C119/(COUNTA('サマリ作成用'!A:A)-1)*100,1))</f>
        <v/>
      </c>
      <c r="E119" s="44" t="n">
        <v>7</v>
      </c>
      <c r="F119" s="44">
        <f>IF(OR(C119="",E119=""),"",C119-E119)</f>
        <v/>
      </c>
    </row>
    <row r="120" ht="18" customHeight="1">
      <c r="A120" s="41" t="n">
        <v>13</v>
      </c>
      <c r="B120" s="42" t="inlineStr">
        <is>
          <t>SARC-F</t>
        </is>
      </c>
      <c r="C120" s="41">
        <f>COUNTIF('サマリ作成用'!T:T,"*SARC-F*")</f>
        <v/>
      </c>
      <c r="D120" s="43">
        <f>IF(C120="","",ROUND(C120/(COUNTA('サマリ作成用'!A:A)-1)*100,1))</f>
        <v/>
      </c>
      <c r="E120" s="41" t="n">
        <v>7</v>
      </c>
      <c r="F120" s="41">
        <f>IF(OR(C120="",E120=""),"",C120-E120)</f>
        <v/>
      </c>
    </row>
    <row r="121" ht="18" customHeight="1">
      <c r="A121" s="44" t="n">
        <v>14</v>
      </c>
      <c r="B121" s="45" t="inlineStr">
        <is>
          <t>四肢骨格筋量（ASM）</t>
        </is>
      </c>
      <c r="C121" s="44">
        <f>COUNTIF('サマリ作成用'!T:T,"*四肢骨格筋量*")</f>
        <v/>
      </c>
      <c r="D121" s="46">
        <f>IF(C121="","",ROUND(C121/(COUNTA('サマリ作成用'!A:A)-1)*100,1))</f>
        <v/>
      </c>
      <c r="E121" s="44" t="n">
        <v>5</v>
      </c>
      <c r="F121" s="44">
        <f>IF(OR(C121="",E121=""),"",C121-E121)</f>
        <v/>
      </c>
    </row>
    <row r="122" ht="18" customHeight="1">
      <c r="A122" s="41" t="n">
        <v>15</v>
      </c>
      <c r="B122" s="42" t="inlineStr">
        <is>
          <t>MNA-SF</t>
        </is>
      </c>
      <c r="C122" s="41">
        <f>COUNTIF('サマリ作成用'!T:T,"*MNA-SF*")</f>
        <v/>
      </c>
      <c r="D122" s="43">
        <f>IF(C122="","",ROUND(C122/(COUNTA('サマリ作成用'!A:A)-1)*100,1))</f>
        <v/>
      </c>
      <c r="E122" s="41" t="n">
        <v>4</v>
      </c>
      <c r="F122" s="41">
        <f>IF(OR(C122="",E122=""),"",C122-E122)</f>
        <v/>
      </c>
    </row>
    <row r="123" ht="18" customHeight="1">
      <c r="A123" s="44" t="n">
        <v>16</v>
      </c>
      <c r="B123" s="45" t="inlineStr">
        <is>
          <t>SARC-CalF</t>
        </is>
      </c>
      <c r="C123" s="44">
        <f>COUNTIF('サマリ作成用'!T:T,"*SARC-CalF*")</f>
        <v/>
      </c>
      <c r="D123" s="46">
        <f>IF(C123="","",ROUND(C123/(COUNTA('サマリ作成用'!A:A)-1)*100,1))</f>
        <v/>
      </c>
      <c r="E123" s="44" t="n">
        <v>2</v>
      </c>
      <c r="F123" s="44">
        <f>IF(OR(C123="",E123=""),"",C123-E123)</f>
        <v/>
      </c>
    </row>
    <row r="124" ht="20" customHeight="1">
      <c r="A124" s="47" t="inlineStr">
        <is>
          <t>合計（複数選択のため有効回答数を超える）</t>
        </is>
      </c>
      <c r="C124" s="47">
        <f>SUM(C108:C123)</f>
        <v/>
      </c>
      <c r="D124" s="47" t="inlineStr"/>
      <c r="E124" s="47" t="inlineStr"/>
      <c r="F124" s="47" t="inlineStr"/>
    </row>
    <row r="125" ht="8" customHeight="1"/>
    <row r="126" ht="24" customHeight="1">
      <c r="A126" s="38" t="inlineStr">
        <is>
          <t>■ Q11. フレイルの評価項目【複数選択可】  ※列V</t>
        </is>
      </c>
    </row>
    <row r="127" ht="20" customHeight="1">
      <c r="A127" s="39" t="inlineStr">
        <is>
          <t>Q11 フレイル評価（複数選択）</t>
        </is>
      </c>
      <c r="C127" s="39" t="inlineStr">
        <is>
          <t>関数カウント</t>
        </is>
      </c>
      <c r="D127" s="39" t="inlineStr">
        <is>
          <t>割合</t>
        </is>
      </c>
      <c r="E127" s="39" t="inlineStr">
        <is>
          <t>PPTX値</t>
        </is>
      </c>
      <c r="F127" s="39" t="inlineStr">
        <is>
          <t>差分</t>
        </is>
      </c>
    </row>
    <row r="128" ht="22" customHeight="1">
      <c r="A128" s="40" t="inlineStr">
        <is>
          <t>No.</t>
        </is>
      </c>
      <c r="B128" s="40" t="inlineStr">
        <is>
          <t>回答選択肢</t>
        </is>
      </c>
      <c r="C128" s="40" t="inlineStr">
        <is>
          <t>関数カウント</t>
        </is>
      </c>
      <c r="D128" s="40" t="inlineStr">
        <is>
          <t>割合(%)</t>
        </is>
      </c>
      <c r="E128" s="40" t="inlineStr">
        <is>
          <t>PPTX値</t>
        </is>
      </c>
      <c r="F128" s="40" t="inlineStr">
        <is>
          <t>差分(関数-PPTX)</t>
        </is>
      </c>
    </row>
    <row r="129" ht="18" customHeight="1">
      <c r="A129" s="41" t="n">
        <v>1</v>
      </c>
      <c r="B129" s="42" t="inlineStr">
        <is>
          <t>握力</t>
        </is>
      </c>
      <c r="C129" s="41">
        <f>COUNTIF('サマリ作成用'!V:V,"*握力*")</f>
        <v/>
      </c>
      <c r="D129" s="43">
        <f>IF(C129="","",ROUND(C129/(COUNTA('サマリ作成用'!A:A)-1)*100,1))</f>
        <v/>
      </c>
      <c r="E129" s="41" t="n">
        <v>158</v>
      </c>
      <c r="F129" s="41">
        <f>IF(OR(C129="",E129=""),"",C129-E129)</f>
        <v/>
      </c>
    </row>
    <row r="130" ht="18" customHeight="1">
      <c r="A130" s="44" t="n">
        <v>2</v>
      </c>
      <c r="B130" s="45" t="inlineStr">
        <is>
          <t>認知機能</t>
        </is>
      </c>
      <c r="C130" s="44">
        <f>COUNTIF('サマリ作成用'!V:V,"*認知機能*")</f>
        <v/>
      </c>
      <c r="D130" s="46">
        <f>IF(C130="","",ROUND(C130/(COUNTA('サマリ作成用'!A:A)-1)*100,1))</f>
        <v/>
      </c>
      <c r="E130" s="44" t="n">
        <v>127</v>
      </c>
      <c r="F130" s="44">
        <f>IF(OR(C130="",E130=""),"",C130-E130)</f>
        <v/>
      </c>
    </row>
    <row r="131" ht="18" customHeight="1">
      <c r="A131" s="41" t="n">
        <v>3</v>
      </c>
      <c r="B131" s="42" t="inlineStr">
        <is>
          <t>TUG</t>
        </is>
      </c>
      <c r="C131" s="41">
        <f>COUNTIF('サマリ作成用'!V:V,"*TUG*")</f>
        <v/>
      </c>
      <c r="D131" s="43">
        <f>IF(C131="","",ROUND(C131/(COUNTA('サマリ作成用'!A:A)-1)*100,1))</f>
        <v/>
      </c>
      <c r="E131" s="41" t="n">
        <v>112</v>
      </c>
      <c r="F131" s="41">
        <f>IF(OR(C131="",E131=""),"",C131-E131)</f>
        <v/>
      </c>
    </row>
    <row r="132" ht="18" customHeight="1">
      <c r="A132" s="44" t="n">
        <v>4</v>
      </c>
      <c r="B132" s="45" t="inlineStr">
        <is>
          <t>実施していない</t>
        </is>
      </c>
      <c r="C132" s="44">
        <f>COUNTIF('サマリ作成用'!V:V,"*実施していない*")</f>
        <v/>
      </c>
      <c r="D132" s="46">
        <f>IF(C132="","",ROUND(C132/(COUNTA('サマリ作成用'!A:A)-1)*100,1))</f>
        <v/>
      </c>
      <c r="E132" s="44" t="n">
        <v>71</v>
      </c>
      <c r="F132" s="44">
        <f>IF(OR(C132="",E132=""),"",C132-E132)</f>
        <v/>
      </c>
    </row>
    <row r="133" ht="18" customHeight="1">
      <c r="A133" s="41" t="n">
        <v>5</v>
      </c>
      <c r="B133" s="42" t="inlineStr">
        <is>
          <t>6分間歩行距離</t>
        </is>
      </c>
      <c r="C133" s="41">
        <f>COUNTIF('サマリ作成用'!V:V,"*6分間歩行距離*")</f>
        <v/>
      </c>
      <c r="D133" s="43">
        <f>IF(C133="","",ROUND(C133/(COUNTA('サマリ作成用'!A:A)-1)*100,1))</f>
        <v/>
      </c>
      <c r="E133" s="41" t="n">
        <v>31</v>
      </c>
      <c r="F133" s="41">
        <f>IF(OR(C133="",E133=""),"",C133-E133)</f>
        <v/>
      </c>
    </row>
    <row r="134" ht="18" customHeight="1">
      <c r="A134" s="44" t="n">
        <v>6</v>
      </c>
      <c r="B134" s="45" t="inlineStr">
        <is>
          <t>J-CHS基準</t>
        </is>
      </c>
      <c r="C134" s="44">
        <f>COUNTIF('サマリ作成用'!V:V,"*J-CHS基準*")</f>
        <v/>
      </c>
      <c r="D134" s="46">
        <f>IF(C134="","",ROUND(C134/(COUNTA('サマリ作成用'!A:A)-1)*100,1))</f>
        <v/>
      </c>
      <c r="E134" s="44" t="n">
        <v>19</v>
      </c>
      <c r="F134" s="44">
        <f>IF(OR(C134="",E134=""),"",C134-E134)</f>
        <v/>
      </c>
    </row>
    <row r="135" ht="18" customHeight="1">
      <c r="A135" s="41" t="n">
        <v>7</v>
      </c>
      <c r="B135" s="42" t="inlineStr">
        <is>
          <t>抑うつや意欲低下</t>
        </is>
      </c>
      <c r="C135" s="41">
        <f>COUNTIF('サマリ作成用'!V:V,"*抑うつや意欲低下*")</f>
        <v/>
      </c>
      <c r="D135" s="43">
        <f>IF(C135="","",ROUND(C135/(COUNTA('サマリ作成用'!A:A)-1)*100,1))</f>
        <v/>
      </c>
      <c r="E135" s="41" t="n">
        <v>13</v>
      </c>
      <c r="F135" s="41">
        <f>IF(OR(C135="",E135=""),"",C135-E135)</f>
        <v/>
      </c>
    </row>
    <row r="136" ht="18" customHeight="1">
      <c r="A136" s="44" t="n">
        <v>8</v>
      </c>
      <c r="B136" s="45" t="inlineStr">
        <is>
          <t>GNRI</t>
        </is>
      </c>
      <c r="C136" s="44">
        <f>COUNTIF('サマリ作成用'!V:V,"*GNRI*")</f>
        <v/>
      </c>
      <c r="D136" s="46">
        <f>IF(C136="","",ROUND(C136/(COUNTA('サマリ作成用'!A:A)-1)*100,1))</f>
        <v/>
      </c>
      <c r="E136" s="44" t="n">
        <v>7</v>
      </c>
      <c r="F136" s="44">
        <f>IF(OR(C136="",E136=""),"",C136-E136)</f>
        <v/>
      </c>
    </row>
    <row r="137" ht="18" customHeight="1">
      <c r="A137" s="41" t="n">
        <v>9</v>
      </c>
      <c r="B137" s="42" t="inlineStr">
        <is>
          <t>MNA-SF</t>
        </is>
      </c>
      <c r="C137" s="41">
        <f>COUNTIF('サマリ作成用'!V:V,"*MNA-SF*")</f>
        <v/>
      </c>
      <c r="D137" s="43">
        <f>IF(C137="","",ROUND(C137/(COUNTA('サマリ作成用'!A:A)-1)*100,1))</f>
        <v/>
      </c>
      <c r="E137" s="41" t="n">
        <v>4</v>
      </c>
      <c r="F137" s="41">
        <f>IF(OR(C137="",E137=""),"",C137-E137)</f>
        <v/>
      </c>
    </row>
    <row r="138" ht="18" customHeight="1">
      <c r="A138" s="44" t="n">
        <v>10</v>
      </c>
      <c r="B138" s="45" t="inlineStr">
        <is>
          <t>Kihon Checklist（基本チェックリスト）</t>
        </is>
      </c>
      <c r="C138" s="44">
        <f>COUNTIF('サマリ作成用'!V:V,"*Kihon Checklist*")</f>
        <v/>
      </c>
      <c r="D138" s="46">
        <f>IF(C138="","",ROUND(C138/(COUNTA('サマリ作成用'!A:A)-1)*100,1))</f>
        <v/>
      </c>
      <c r="E138" s="44" t="n">
        <v>3</v>
      </c>
      <c r="F138" s="44">
        <f>IF(OR(C138="",E138=""),"",C138-E138)</f>
        <v/>
      </c>
    </row>
    <row r="139" ht="18" customHeight="1">
      <c r="A139" s="41" t="n">
        <v>11</v>
      </c>
      <c r="B139" s="42" t="inlineStr">
        <is>
          <t>Frailty Index（累積欠損モデル）</t>
        </is>
      </c>
      <c r="C139" s="41">
        <f>COUNTIF('サマリ作成用'!V:V,"*Frailty Index*")</f>
        <v/>
      </c>
      <c r="D139" s="43">
        <f>IF(C139="","",ROUND(C139/(COUNTA('サマリ作成用'!A:A)-1)*100,1))</f>
        <v/>
      </c>
      <c r="E139" s="41" t="n">
        <v>3</v>
      </c>
      <c r="F139" s="41">
        <f>IF(OR(C139="",E139=""),"",C139-E139)</f>
        <v/>
      </c>
    </row>
    <row r="140" ht="20" customHeight="1">
      <c r="A140" s="47" t="inlineStr">
        <is>
          <t>合計（複数選択のため有効回答数を超える）</t>
        </is>
      </c>
      <c r="C140" s="47">
        <f>SUM(C129:C139)</f>
        <v/>
      </c>
      <c r="D140" s="47" t="inlineStr"/>
      <c r="E140" s="47" t="inlineStr"/>
      <c r="F140" s="47" t="inlineStr"/>
    </row>
    <row r="141" ht="8" customHeight="1"/>
    <row r="142" ht="24" customHeight="1">
      <c r="A142" s="38" t="inlineStr">
        <is>
          <t>■ Q12. ロコモティブシンドロームの評価項目【複数選択可】  ※列X</t>
        </is>
      </c>
    </row>
    <row r="143" ht="20" customHeight="1">
      <c r="A143" s="39" t="inlineStr">
        <is>
          <t>Q12 ロコモ評価（複数選択）</t>
        </is>
      </c>
      <c r="C143" s="39" t="inlineStr">
        <is>
          <t>関数カウント</t>
        </is>
      </c>
      <c r="D143" s="39" t="inlineStr">
        <is>
          <t>割合</t>
        </is>
      </c>
      <c r="E143" s="39" t="inlineStr">
        <is>
          <t>PPTX値</t>
        </is>
      </c>
      <c r="F143" s="39" t="inlineStr">
        <is>
          <t>差分</t>
        </is>
      </c>
    </row>
    <row r="144" ht="22" customHeight="1">
      <c r="A144" s="40" t="inlineStr">
        <is>
          <t>No.</t>
        </is>
      </c>
      <c r="B144" s="40" t="inlineStr">
        <is>
          <t>回答選択肢</t>
        </is>
      </c>
      <c r="C144" s="40" t="inlineStr">
        <is>
          <t>関数カウント</t>
        </is>
      </c>
      <c r="D144" s="40" t="inlineStr">
        <is>
          <t>割合(%)</t>
        </is>
      </c>
      <c r="E144" s="40" t="inlineStr">
        <is>
          <t>PPTX値</t>
        </is>
      </c>
      <c r="F144" s="40" t="inlineStr">
        <is>
          <t>差分(関数-PPTX)</t>
        </is>
      </c>
    </row>
    <row r="145" ht="18" customHeight="1">
      <c r="A145" s="41" t="n">
        <v>1</v>
      </c>
      <c r="B145" s="42" t="inlineStr">
        <is>
          <t>実施していない</t>
        </is>
      </c>
      <c r="C145" s="41">
        <f>COUNTIF('サマリ作成用'!X:X,"*実施していない*")</f>
        <v/>
      </c>
      <c r="D145" s="43">
        <f>IF(C145="","",ROUND(C145/(COUNTA('サマリ作成用'!A:A)-1)*100,1))</f>
        <v/>
      </c>
      <c r="E145" s="41" t="n">
        <v>188</v>
      </c>
      <c r="F145" s="41">
        <f>IF(OR(C145="",E145=""),"",C145-E145)</f>
        <v/>
      </c>
    </row>
    <row r="146" ht="18" customHeight="1">
      <c r="A146" s="44" t="n">
        <v>2</v>
      </c>
      <c r="B146" s="45" t="inlineStr">
        <is>
          <t>立ち上がりテスト</t>
        </is>
      </c>
      <c r="C146" s="44">
        <f>COUNTIF('サマリ作成用'!X:X,"*立ち上がりテスト*")</f>
        <v/>
      </c>
      <c r="D146" s="46">
        <f>IF(C146="","",ROUND(C146/(COUNTA('サマリ作成用'!A:A)-1)*100,1))</f>
        <v/>
      </c>
      <c r="E146" s="44" t="n">
        <v>86</v>
      </c>
      <c r="F146" s="44">
        <f>IF(OR(C146="",E146=""),"",C146-E146)</f>
        <v/>
      </c>
    </row>
    <row r="147" ht="18" customHeight="1">
      <c r="A147" s="41" t="n">
        <v>3</v>
      </c>
      <c r="B147" s="42" t="inlineStr">
        <is>
          <t>2ステップテスト</t>
        </is>
      </c>
      <c r="C147" s="41">
        <f>COUNTIF('サマリ作成用'!X:X,"*2ステップテスト*")</f>
        <v/>
      </c>
      <c r="D147" s="43">
        <f>IF(C147="","",ROUND(C147/(COUNTA('サマリ作成用'!A:A)-1)*100,1))</f>
        <v/>
      </c>
      <c r="E147" s="41" t="n">
        <v>34</v>
      </c>
      <c r="F147" s="41">
        <f>IF(OR(C147="",E147=""),"",C147-E147)</f>
        <v/>
      </c>
    </row>
    <row r="148" ht="18" customHeight="1">
      <c r="A148" s="44" t="n">
        <v>4</v>
      </c>
      <c r="B148" s="45" t="inlineStr">
        <is>
          <t>ロコモ25（質問票）</t>
        </is>
      </c>
      <c r="C148" s="44">
        <f>COUNTIF('サマリ作成用'!X:X,"*ロコモ25*")</f>
        <v/>
      </c>
      <c r="D148" s="46">
        <f>IF(C148="","",ROUND(C148/(COUNTA('サマリ作成用'!A:A)-1)*100,1))</f>
        <v/>
      </c>
      <c r="E148" s="44" t="n">
        <v>19</v>
      </c>
      <c r="F148" s="44">
        <f>IF(OR(C148="",E148=""),"",C148-E148)</f>
        <v/>
      </c>
    </row>
    <row r="149" ht="20" customHeight="1">
      <c r="A149" s="47" t="inlineStr">
        <is>
          <t>合計（複数選択のため有効回答数を超える）</t>
        </is>
      </c>
      <c r="C149" s="47">
        <f>SUM(C145:C148)</f>
        <v/>
      </c>
      <c r="D149" s="47" t="inlineStr"/>
      <c r="E149" s="47" t="inlineStr"/>
      <c r="F149" s="47" t="inlineStr"/>
    </row>
    <row r="150" ht="8" customHeight="1"/>
    <row r="151" ht="24" customHeight="1">
      <c r="A151" s="38" t="inlineStr">
        <is>
          <t>■ Q13. ADLの評価項目【複数選択可】  ※列Z</t>
        </is>
      </c>
    </row>
    <row r="152" ht="20" customHeight="1">
      <c r="A152" s="39" t="inlineStr">
        <is>
          <t>Q13 ADL評価（複数選択）</t>
        </is>
      </c>
      <c r="C152" s="39" t="inlineStr">
        <is>
          <t>関数カウント</t>
        </is>
      </c>
      <c r="D152" s="39" t="inlineStr">
        <is>
          <t>割合</t>
        </is>
      </c>
      <c r="E152" s="39" t="inlineStr">
        <is>
          <t>PPTX値</t>
        </is>
      </c>
      <c r="F152" s="39" t="inlineStr">
        <is>
          <t>差分</t>
        </is>
      </c>
    </row>
    <row r="153" ht="22" customHeight="1">
      <c r="A153" s="40" t="inlineStr">
        <is>
          <t>No.</t>
        </is>
      </c>
      <c r="B153" s="40" t="inlineStr">
        <is>
          <t>回答選択肢</t>
        </is>
      </c>
      <c r="C153" s="40" t="inlineStr">
        <is>
          <t>関数カウント</t>
        </is>
      </c>
      <c r="D153" s="40" t="inlineStr">
        <is>
          <t>割合(%)</t>
        </is>
      </c>
      <c r="E153" s="40" t="inlineStr">
        <is>
          <t>PPTX値</t>
        </is>
      </c>
      <c r="F153" s="40" t="inlineStr">
        <is>
          <t>差分(関数-PPTX)</t>
        </is>
      </c>
    </row>
    <row r="154" ht="18" customHeight="1">
      <c r="A154" s="41" t="n">
        <v>1</v>
      </c>
      <c r="B154" s="42" t="inlineStr">
        <is>
          <t>Barthel Index（BI）</t>
        </is>
      </c>
      <c r="C154" s="41">
        <f>COUNTIF('サマリ作成用'!Z:Z,"*Barthel Index*")</f>
        <v/>
      </c>
      <c r="D154" s="43">
        <f>IF(C154="","",ROUND(C154/(COUNTA('サマリ作成用'!A:A)-1)*100,1))</f>
        <v/>
      </c>
      <c r="E154" s="41" t="n">
        <v>239</v>
      </c>
      <c r="F154" s="41">
        <f>IF(OR(C154="",E154=""),"",C154-E154)</f>
        <v/>
      </c>
    </row>
    <row r="155" ht="18" customHeight="1">
      <c r="A155" s="44" t="n">
        <v>2</v>
      </c>
      <c r="B155" s="45" t="inlineStr">
        <is>
          <t>FIM</t>
        </is>
      </c>
      <c r="C155" s="44">
        <f>COUNTIF('サマリ作成用'!Z:Z,"*FIM*")</f>
        <v/>
      </c>
      <c r="D155" s="46">
        <f>IF(C155="","",ROUND(C155/(COUNTA('サマリ作成用'!A:A)-1)*100,1))</f>
        <v/>
      </c>
      <c r="E155" s="44" t="n">
        <v>186</v>
      </c>
      <c r="F155" s="44">
        <f>IF(OR(C155="",E155=""),"",C155-E155)</f>
        <v/>
      </c>
    </row>
    <row r="156" ht="18" customHeight="1">
      <c r="A156" s="41" t="n">
        <v>3</v>
      </c>
      <c r="B156" s="42" t="inlineStr">
        <is>
          <t>Katz Index</t>
        </is>
      </c>
      <c r="C156" s="41">
        <f>COUNTIF('サマリ作成用'!Z:Z,"*Katz Index*")</f>
        <v/>
      </c>
      <c r="D156" s="43">
        <f>IF(C156="","",ROUND(C156/(COUNTA('サマリ作成用'!A:A)-1)*100,1))</f>
        <v/>
      </c>
      <c r="E156" s="41" t="n">
        <v>1</v>
      </c>
      <c r="F156" s="41">
        <f>IF(OR(C156="",E156=""),"",C156-E156)</f>
        <v/>
      </c>
    </row>
    <row r="157" ht="18" customHeight="1">
      <c r="A157" s="44" t="n">
        <v>4</v>
      </c>
      <c r="B157" s="45" t="inlineStr">
        <is>
          <t>実施していない</t>
        </is>
      </c>
      <c r="C157" s="44">
        <f>COUNTIF('サマリ作成用'!Z:Z,"*実施していない*")</f>
        <v/>
      </c>
      <c r="D157" s="46">
        <f>IF(C157="","",ROUND(C157/(COUNTA('サマリ作成用'!A:A)-1)*100,1))</f>
        <v/>
      </c>
      <c r="E157" s="44" t="n">
        <v>1</v>
      </c>
      <c r="F157" s="44">
        <f>IF(OR(C157="",E157=""),"",C157-E157)</f>
        <v/>
      </c>
    </row>
    <row r="158" ht="20" customHeight="1">
      <c r="A158" s="47" t="inlineStr">
        <is>
          <t>合計（複数選択のため有効回答数を超える）</t>
        </is>
      </c>
      <c r="C158" s="47">
        <f>SUM(C154:C157)</f>
        <v/>
      </c>
      <c r="D158" s="47" t="inlineStr"/>
      <c r="E158" s="47" t="inlineStr"/>
      <c r="F158" s="47" t="inlineStr"/>
    </row>
    <row r="159" ht="8" customHeight="1"/>
    <row r="160" ht="24" customHeight="1">
      <c r="A160" s="38" t="inlineStr">
        <is>
          <t>■ Q14. 認知機能の評価項目【複数選択可】  ※列AB</t>
        </is>
      </c>
    </row>
    <row r="161" ht="20" customHeight="1">
      <c r="A161" s="39" t="inlineStr">
        <is>
          <t>Q14 認知機能評価（複数選択）</t>
        </is>
      </c>
      <c r="C161" s="39" t="inlineStr">
        <is>
          <t>関数カウント</t>
        </is>
      </c>
      <c r="D161" s="39" t="inlineStr">
        <is>
          <t>割合</t>
        </is>
      </c>
      <c r="E161" s="39" t="inlineStr">
        <is>
          <t>PPTX値</t>
        </is>
      </c>
      <c r="F161" s="39" t="inlineStr">
        <is>
          <t>差分</t>
        </is>
      </c>
    </row>
    <row r="162" ht="22" customHeight="1">
      <c r="A162" s="40" t="inlineStr">
        <is>
          <t>No.</t>
        </is>
      </c>
      <c r="B162" s="40" t="inlineStr">
        <is>
          <t>回答選択肢</t>
        </is>
      </c>
      <c r="C162" s="40" t="inlineStr">
        <is>
          <t>関数カウント</t>
        </is>
      </c>
      <c r="D162" s="40" t="inlineStr">
        <is>
          <t>割合(%)</t>
        </is>
      </c>
      <c r="E162" s="40" t="inlineStr">
        <is>
          <t>PPTX値</t>
        </is>
      </c>
      <c r="F162" s="40" t="inlineStr">
        <is>
          <t>差分(関数-PPTX)</t>
        </is>
      </c>
    </row>
    <row r="163" ht="18" customHeight="1">
      <c r="A163" s="41" t="n">
        <v>1</v>
      </c>
      <c r="B163" s="42" t="inlineStr">
        <is>
          <t>HDS-R</t>
        </is>
      </c>
      <c r="C163" s="41">
        <f>COUNTIF('サマリ作成用'!AB:AB,"*HDS-R*")</f>
        <v/>
      </c>
      <c r="D163" s="43">
        <f>IF(C163="","",ROUND(C163/(COUNTA('サマリ作成用'!A:A)-1)*100,1))</f>
        <v/>
      </c>
      <c r="E163" s="41" t="n">
        <v>209</v>
      </c>
      <c r="F163" s="41">
        <f>IF(OR(C163="",E163=""),"",C163-E163)</f>
        <v/>
      </c>
    </row>
    <row r="164" ht="18" customHeight="1">
      <c r="A164" s="44" t="n">
        <v>2</v>
      </c>
      <c r="B164" s="45" t="inlineStr">
        <is>
          <t>MMSE</t>
        </is>
      </c>
      <c r="C164" s="44">
        <f>COUNTIF('サマリ作成用'!AB:AB,"*MMSE*")</f>
        <v/>
      </c>
      <c r="D164" s="46">
        <f>IF(C164="","",ROUND(C164/(COUNTA('サマリ作成用'!A:A)-1)*100,1))</f>
        <v/>
      </c>
      <c r="E164" s="44" t="n">
        <v>171</v>
      </c>
      <c r="F164" s="44">
        <f>IF(OR(C164="",E164=""),"",C164-E164)</f>
        <v/>
      </c>
    </row>
    <row r="165" ht="18" customHeight="1">
      <c r="A165" s="41" t="n">
        <v>3</v>
      </c>
      <c r="B165" s="42" t="inlineStr">
        <is>
          <t>AMTS</t>
        </is>
      </c>
      <c r="C165" s="41">
        <f>COUNTIF('サマリ作成用'!AB:AB,"*AMTS*")</f>
        <v/>
      </c>
      <c r="D165" s="43">
        <f>IF(C165="","",ROUND(C165/(COUNTA('サマリ作成用'!A:A)-1)*100,1))</f>
        <v/>
      </c>
      <c r="E165" s="41" t="n">
        <v>90</v>
      </c>
      <c r="F165" s="41">
        <f>IF(OR(C165="",E165=""),"",C165-E165)</f>
        <v/>
      </c>
    </row>
    <row r="166" ht="18" customHeight="1">
      <c r="A166" s="44" t="n">
        <v>4</v>
      </c>
      <c r="B166" s="45" t="inlineStr">
        <is>
          <t>MoCA</t>
        </is>
      </c>
      <c r="C166" s="44">
        <f>COUNTIF('サマリ作成用'!AB:AB,"*MoCA*")</f>
        <v/>
      </c>
      <c r="D166" s="46">
        <f>IF(C166="","",ROUND(C166/(COUNTA('サマリ作成用'!A:A)-1)*100,1))</f>
        <v/>
      </c>
      <c r="E166" s="44" t="n">
        <v>25</v>
      </c>
      <c r="F166" s="44">
        <f>IF(OR(C166="",E166=""),"",C166-E166)</f>
        <v/>
      </c>
    </row>
    <row r="167" ht="18" customHeight="1">
      <c r="A167" s="41" t="n">
        <v>5</v>
      </c>
      <c r="B167" s="42" t="inlineStr">
        <is>
          <t>実施していない</t>
        </is>
      </c>
      <c r="C167" s="41">
        <f>COUNTIF('サマリ作成用'!AB:AB,"*実施していない*")</f>
        <v/>
      </c>
      <c r="D167" s="43">
        <f>IF(C167="","",ROUND(C167/(COUNTA('サマリ作成用'!A:A)-1)*100,1))</f>
        <v/>
      </c>
      <c r="E167" s="41" t="n">
        <v>18</v>
      </c>
      <c r="F167" s="41">
        <f>IF(OR(C167="",E167=""),"",C167-E167)</f>
        <v/>
      </c>
    </row>
    <row r="168" ht="20" customHeight="1">
      <c r="A168" s="47" t="inlineStr">
        <is>
          <t>合計（複数選択のため有効回答数を超える）</t>
        </is>
      </c>
      <c r="C168" s="47">
        <f>SUM(C163:C167)</f>
        <v/>
      </c>
      <c r="D168" s="47" t="inlineStr"/>
      <c r="E168" s="47" t="inlineStr"/>
      <c r="F168" s="47" t="inlineStr"/>
    </row>
    <row r="169" ht="8" customHeight="1"/>
    <row r="170" ht="24" customHeight="1">
      <c r="A170" s="38" t="inlineStr">
        <is>
          <t>■ Q15. FLS活動における転倒リスク評価項目【複数選択可】  ※列AD</t>
        </is>
      </c>
    </row>
    <row r="171" ht="20" customHeight="1">
      <c r="A171" s="39" t="inlineStr">
        <is>
          <t>Q15 転倒リスク評価（複数選択）</t>
        </is>
      </c>
      <c r="C171" s="39" t="inlineStr">
        <is>
          <t>関数カウント</t>
        </is>
      </c>
      <c r="D171" s="39" t="inlineStr">
        <is>
          <t>割合</t>
        </is>
      </c>
      <c r="E171" s="39" t="inlineStr">
        <is>
          <t>PPTX値</t>
        </is>
      </c>
      <c r="F171" s="39" t="inlineStr">
        <is>
          <t>差分</t>
        </is>
      </c>
    </row>
    <row r="172" ht="22" customHeight="1">
      <c r="A172" s="40" t="inlineStr">
        <is>
          <t>No.</t>
        </is>
      </c>
      <c r="B172" s="40" t="inlineStr">
        <is>
          <t>回答選択肢</t>
        </is>
      </c>
      <c r="C172" s="40" t="inlineStr">
        <is>
          <t>関数カウント</t>
        </is>
      </c>
      <c r="D172" s="40" t="inlineStr">
        <is>
          <t>割合(%)</t>
        </is>
      </c>
      <c r="E172" s="40" t="inlineStr">
        <is>
          <t>PPTX値</t>
        </is>
      </c>
      <c r="F172" s="40" t="inlineStr">
        <is>
          <t>差分(関数-PPTX)</t>
        </is>
      </c>
    </row>
    <row r="173" ht="18" customHeight="1">
      <c r="A173" s="41" t="n">
        <v>1</v>
      </c>
      <c r="B173" s="42" t="inlineStr">
        <is>
          <t>認知機能</t>
        </is>
      </c>
      <c r="C173" s="41">
        <f>COUNTIF('サマリ作成用'!AD:AD,"*認知機能*")</f>
        <v/>
      </c>
      <c r="D173" s="43">
        <f>IF(C173="","",ROUND(C173/(COUNTA('サマリ作成用'!A:A)-1)*100,1))</f>
        <v/>
      </c>
      <c r="E173" s="41" t="n">
        <v>144</v>
      </c>
      <c r="F173" s="41">
        <f>IF(OR(C173="",E173=""),"",C173-E173)</f>
        <v/>
      </c>
    </row>
    <row r="174" ht="18" customHeight="1">
      <c r="A174" s="44" t="n">
        <v>2</v>
      </c>
      <c r="B174" s="45" t="inlineStr">
        <is>
          <t>過去の転倒歴</t>
        </is>
      </c>
      <c r="C174" s="44">
        <f>COUNTIF('サマリ作成用'!AD:AD,"*過去の転倒歴*")</f>
        <v/>
      </c>
      <c r="D174" s="46">
        <f>IF(C174="","",ROUND(C174/(COUNTA('サマリ作成用'!A:A)-1)*100,1))</f>
        <v/>
      </c>
      <c r="E174" s="44" t="n">
        <v>105</v>
      </c>
      <c r="F174" s="44">
        <f>IF(OR(C174="",E174=""),"",C174-E174)</f>
        <v/>
      </c>
    </row>
    <row r="175" ht="18" customHeight="1">
      <c r="A175" s="41" t="n">
        <v>3</v>
      </c>
      <c r="B175" s="42" t="inlineStr">
        <is>
          <t>TUG</t>
        </is>
      </c>
      <c r="C175" s="41">
        <f>COUNTIF('サマリ作成用'!AD:AD,"*TUG*")</f>
        <v/>
      </c>
      <c r="D175" s="43">
        <f>IF(C175="","",ROUND(C175/(COUNTA('サマリ作成用'!A:A)-1)*100,1))</f>
        <v/>
      </c>
      <c r="E175" s="41" t="n">
        <v>93</v>
      </c>
      <c r="F175" s="41">
        <f>IF(OR(C175="",E175=""),"",C175-E175)</f>
        <v/>
      </c>
    </row>
    <row r="176" ht="18" customHeight="1">
      <c r="A176" s="44" t="n">
        <v>4</v>
      </c>
      <c r="B176" s="45" t="inlineStr">
        <is>
          <t>ベッド周囲および病室環境</t>
        </is>
      </c>
      <c r="C176" s="44">
        <f>COUNTIF('サマリ作成用'!AD:AD,"*ベッド周囲および病室環境*")</f>
        <v/>
      </c>
      <c r="D176" s="46">
        <f>IF(C176="","",ROUND(C176/(COUNTA('サマリ作成用'!A:A)-1)*100,1))</f>
        <v/>
      </c>
      <c r="E176" s="44" t="n">
        <v>79</v>
      </c>
      <c r="F176" s="44">
        <f>IF(OR(C176="",E176=""),"",C176-E176)</f>
        <v/>
      </c>
    </row>
    <row r="177" ht="18" customHeight="1">
      <c r="A177" s="41" t="n">
        <v>5</v>
      </c>
      <c r="B177" s="42" t="inlineStr">
        <is>
          <t>既往疾患の有無（脳血管疾患、パーキンソン病など）</t>
        </is>
      </c>
      <c r="C177" s="41">
        <f>COUNTIF('サマリ作成用'!AD:AD,"*既往疾患の有無*")</f>
        <v/>
      </c>
      <c r="D177" s="43">
        <f>IF(C177="","",ROUND(C177/(COUNTA('サマリ作成用'!A:A)-1)*100,1))</f>
        <v/>
      </c>
      <c r="E177" s="41" t="n">
        <v>78</v>
      </c>
      <c r="F177" s="41">
        <f>IF(OR(C177="",E177=""),"",C177-E177)</f>
        <v/>
      </c>
    </row>
    <row r="178" ht="18" customHeight="1">
      <c r="A178" s="44" t="n">
        <v>6</v>
      </c>
      <c r="B178" s="45" t="inlineStr">
        <is>
          <t>10m歩行速度</t>
        </is>
      </c>
      <c r="C178" s="44">
        <f>COUNTIF('サマリ作成用'!AD:AD,"*10m歩行速度*")</f>
        <v/>
      </c>
      <c r="D178" s="46">
        <f>IF(C178="","",ROUND(C178/(COUNTA('サマリ作成用'!A:A)-1)*100,1))</f>
        <v/>
      </c>
      <c r="E178" s="44" t="n">
        <v>76</v>
      </c>
      <c r="F178" s="44">
        <f>IF(OR(C178="",E178=""),"",C178-E178)</f>
        <v/>
      </c>
    </row>
    <row r="179" ht="18" customHeight="1">
      <c r="A179" s="41" t="n">
        <v>7</v>
      </c>
      <c r="B179" s="42" t="inlineStr">
        <is>
          <t>定量的な下肢筋力測定</t>
        </is>
      </c>
      <c r="C179" s="41">
        <f>COUNTIF('サマリ作成用'!AD:AD,"*定量的な下肢筋力測定*")</f>
        <v/>
      </c>
      <c r="D179" s="43">
        <f>IF(C179="","",ROUND(C179/(COUNTA('サマリ作成用'!A:A)-1)*100,1))</f>
        <v/>
      </c>
      <c r="E179" s="41" t="n">
        <v>68</v>
      </c>
      <c r="F179" s="41">
        <f>IF(OR(C179="",E179=""),"",C179-E179)</f>
        <v/>
      </c>
    </row>
    <row r="180" ht="18" customHeight="1">
      <c r="A180" s="44" t="n">
        <v>8</v>
      </c>
      <c r="B180" s="45" t="inlineStr">
        <is>
          <t>開眼片脚立位時間</t>
        </is>
      </c>
      <c r="C180" s="44">
        <f>COUNTIF('サマリ作成用'!AD:AD,"*開眼片脚立位時間*")</f>
        <v/>
      </c>
      <c r="D180" s="46">
        <f>IF(C180="","",ROUND(C180/(COUNTA('サマリ作成用'!A:A)-1)*100,1))</f>
        <v/>
      </c>
      <c r="E180" s="44" t="n">
        <v>67</v>
      </c>
      <c r="F180" s="44">
        <f>IF(OR(C180="",E180=""),"",C180-E180)</f>
        <v/>
      </c>
    </row>
    <row r="181" ht="18" customHeight="1">
      <c r="A181" s="41" t="n">
        <v>9</v>
      </c>
      <c r="B181" s="42" t="inlineStr">
        <is>
          <t>実施していない</t>
        </is>
      </c>
      <c r="C181" s="41">
        <f>COUNTIF('サマリ作成用'!AD:AD,"*実施していない*")</f>
        <v/>
      </c>
      <c r="D181" s="43">
        <f>IF(C181="","",ROUND(C181/(COUNTA('サマリ作成用'!A:A)-1)*100,1))</f>
        <v/>
      </c>
      <c r="E181" s="41" t="n">
        <v>64</v>
      </c>
      <c r="F181" s="41">
        <f>IF(OR(C181="",E181=""),"",C181-E181)</f>
        <v/>
      </c>
    </row>
    <row r="182" ht="18" customHeight="1">
      <c r="A182" s="44" t="n">
        <v>10</v>
      </c>
      <c r="B182" s="45" t="inlineStr">
        <is>
          <t>SPPB、Functional Reach Test（FRT）</t>
        </is>
      </c>
      <c r="C182" s="44">
        <f>COUNTIF('サマリ作成用'!AD:AD,"*SPPB*")</f>
        <v/>
      </c>
      <c r="D182" s="46">
        <f>IF(C182="","",ROUND(C182/(COUNTA('サマリ作成用'!A:A)-1)*100,1))</f>
        <v/>
      </c>
      <c r="E182" s="44" t="n">
        <v>56</v>
      </c>
      <c r="F182" s="44">
        <f>IF(OR(C182="",E182=""),"",C182-E182)</f>
        <v/>
      </c>
    </row>
    <row r="183" ht="18" customHeight="1">
      <c r="A183" s="41" t="n">
        <v>11</v>
      </c>
      <c r="B183" s="42" t="inlineStr">
        <is>
          <t>5回椅子立ち上がりテスト</t>
        </is>
      </c>
      <c r="C183" s="41">
        <f>COUNTIF('サマリ作成用'!AD:AD,"*5回椅子立ち上がりテスト*")</f>
        <v/>
      </c>
      <c r="D183" s="43">
        <f>IF(C183="","",ROUND(C183/(COUNTA('サマリ作成用'!A:A)-1)*100,1))</f>
        <v/>
      </c>
      <c r="E183" s="41" t="n">
        <v>51</v>
      </c>
      <c r="F183" s="41">
        <f>IF(OR(C183="",E183=""),"",C183-E183)</f>
        <v/>
      </c>
    </row>
    <row r="184" ht="18" customHeight="1">
      <c r="A184" s="44" t="n">
        <v>12</v>
      </c>
      <c r="B184" s="45" t="inlineStr">
        <is>
          <t>薬剤（向精神薬、降圧薬、利尿薬、ポリファーマシーなど）</t>
        </is>
      </c>
      <c r="C184" s="44">
        <f>COUNTIF('サマリ作成用'!AD:AD,"*薬剤*")</f>
        <v/>
      </c>
      <c r="D184" s="46">
        <f>IF(C184="","",ROUND(C184/(COUNTA('サマリ作成用'!A:A)-1)*100,1))</f>
        <v/>
      </c>
      <c r="E184" s="44" t="n">
        <v>49</v>
      </c>
      <c r="F184" s="44">
        <f>IF(OR(C184="",E184=""),"",C184-E184)</f>
        <v/>
      </c>
    </row>
    <row r="185" ht="18" customHeight="1">
      <c r="A185" s="41" t="n">
        <v>13</v>
      </c>
      <c r="B185" s="42" t="inlineStr">
        <is>
          <t>せん妄</t>
        </is>
      </c>
      <c r="C185" s="41">
        <f>COUNTIF('サマリ作成用'!AD:AD,"*せん妄*")</f>
        <v/>
      </c>
      <c r="D185" s="43">
        <f>IF(C185="","",ROUND(C185/(COUNTA('サマリ作成用'!A:A)-1)*100,1))</f>
        <v/>
      </c>
      <c r="E185" s="41" t="n">
        <v>41</v>
      </c>
      <c r="F185" s="41">
        <f>IF(OR(C185="",E185=""),"",C185-E185)</f>
        <v/>
      </c>
    </row>
    <row r="186" ht="18" customHeight="1">
      <c r="A186" s="44" t="n">
        <v>14</v>
      </c>
      <c r="B186" s="45" t="inlineStr">
        <is>
          <t>Berg Balance Scale（BBS）</t>
        </is>
      </c>
      <c r="C186" s="44">
        <f>COUNTIF('サマリ作成用'!AD:AD,"*Berg Balance Scale*")</f>
        <v/>
      </c>
      <c r="D186" s="46">
        <f>IF(C186="","",ROUND(C186/(COUNTA('サマリ作成用'!A:A)-1)*100,1))</f>
        <v/>
      </c>
      <c r="E186" s="44" t="n">
        <v>40</v>
      </c>
      <c r="F186" s="44">
        <f>IF(OR(C186="",E186=""),"",C186-E186)</f>
        <v/>
      </c>
    </row>
    <row r="187" ht="18" customHeight="1">
      <c r="A187" s="41" t="n">
        <v>15</v>
      </c>
      <c r="B187" s="42" t="inlineStr">
        <is>
          <t>注意障害</t>
        </is>
      </c>
      <c r="C187" s="41">
        <f>COUNTIF('サマリ作成用'!AD:AD,"*注意障害*")</f>
        <v/>
      </c>
      <c r="D187" s="43">
        <f>IF(C187="","",ROUND(C187/(COUNTA('サマリ作成用'!A:A)-1)*100,1))</f>
        <v/>
      </c>
      <c r="E187" s="41" t="n">
        <v>28</v>
      </c>
      <c r="F187" s="41">
        <f>IF(OR(C187="",E187=""),"",C187-E187)</f>
        <v/>
      </c>
    </row>
    <row r="188" ht="18" customHeight="1">
      <c r="A188" s="44" t="n">
        <v>16</v>
      </c>
      <c r="B188" s="45" t="inlineStr">
        <is>
          <t>転倒恐怖感</t>
        </is>
      </c>
      <c r="C188" s="44">
        <f>COUNTIF('サマリ作成用'!AD:AD,"*転倒恐怖感*")</f>
        <v/>
      </c>
      <c r="D188" s="46">
        <f>IF(C188="","",ROUND(C188/(COUNTA('サマリ作成用'!A:A)-1)*100,1))</f>
        <v/>
      </c>
      <c r="E188" s="44" t="n">
        <v>24</v>
      </c>
      <c r="F188" s="44">
        <f>IF(OR(C188="",E188=""),"",C188-E188)</f>
        <v/>
      </c>
    </row>
    <row r="189" ht="18" customHeight="1">
      <c r="A189" s="41" t="n">
        <v>17</v>
      </c>
      <c r="B189" s="42" t="inlineStr">
        <is>
          <t>深部感覚評価</t>
        </is>
      </c>
      <c r="C189" s="41">
        <f>COUNTIF('サマリ作成用'!AD:AD,"*深部感覚評価*")</f>
        <v/>
      </c>
      <c r="D189" s="43">
        <f>IF(C189="","",ROUND(C189/(COUNTA('サマリ作成用'!A:A)-1)*100,1))</f>
        <v/>
      </c>
      <c r="E189" s="41" t="n">
        <v>19</v>
      </c>
      <c r="F189" s="41">
        <f>IF(OR(C189="",E189=""),"",C189-E189)</f>
        <v/>
      </c>
    </row>
    <row r="190" ht="18" customHeight="1">
      <c r="A190" s="44" t="n">
        <v>18</v>
      </c>
      <c r="B190" s="45" t="inlineStr">
        <is>
          <t>遂行機能</t>
        </is>
      </c>
      <c r="C190" s="44">
        <f>COUNTIF('サマリ作成用'!AD:AD,"*遂行機能*")</f>
        <v/>
      </c>
      <c r="D190" s="46">
        <f>IF(C190="","",ROUND(C190/(COUNTA('サマリ作成用'!A:A)-1)*100,1))</f>
        <v/>
      </c>
      <c r="E190" s="44" t="n">
        <v>12</v>
      </c>
      <c r="F190" s="44">
        <f>IF(OR(C190="",E190=""),"",C190-E190)</f>
        <v/>
      </c>
    </row>
    <row r="191" ht="18" customHeight="1">
      <c r="A191" s="41" t="n">
        <v>19</v>
      </c>
      <c r="B191" s="42" t="inlineStr">
        <is>
          <t>Fall Risk Index</t>
        </is>
      </c>
      <c r="C191" s="41">
        <f>COUNTIF('サマリ作成用'!AD:AD,"*Fall Risk Index*")</f>
        <v/>
      </c>
      <c r="D191" s="43">
        <f>IF(C191="","",ROUND(C191/(COUNTA('サマリ作成用'!A:A)-1)*100,1))</f>
        <v/>
      </c>
      <c r="E191" s="41" t="n">
        <v>7</v>
      </c>
      <c r="F191" s="41">
        <f>IF(OR(C191="",E191=""),"",C191-E191)</f>
        <v/>
      </c>
    </row>
    <row r="192" ht="18" customHeight="1">
      <c r="A192" s="44" t="n">
        <v>20</v>
      </c>
      <c r="B192" s="45" t="inlineStr">
        <is>
          <t>SIDE</t>
        </is>
      </c>
      <c r="C192" s="44">
        <f>COUNTIF('サマリ作成用'!AD:AD,"*SIDE*")</f>
        <v/>
      </c>
      <c r="D192" s="46">
        <f>IF(C192="","",ROUND(C192/(COUNTA('サマリ作成用'!A:A)-1)*100,1))</f>
        <v/>
      </c>
      <c r="E192" s="44" t="n">
        <v>4</v>
      </c>
      <c r="F192" s="44">
        <f>IF(OR(C192="",E192=""),"",C192-E192)</f>
        <v/>
      </c>
    </row>
    <row r="193" ht="20" customHeight="1">
      <c r="A193" s="47" t="inlineStr">
        <is>
          <t>合計（複数選択のため有効回答数を超える）</t>
        </is>
      </c>
      <c r="C193" s="47">
        <f>SUM(C173:C192)</f>
        <v/>
      </c>
      <c r="D193" s="47" t="inlineStr"/>
      <c r="E193" s="47" t="inlineStr"/>
      <c r="F193" s="47" t="inlineStr"/>
    </row>
    <row r="194" ht="8" customHeight="1"/>
    <row r="195" ht="24" customHeight="1">
      <c r="A195" s="38" t="inlineStr">
        <is>
          <t>■ Q15-2. 評価実施時期が決められているか【単一選択】  ※列AF  ※Q15で「実施している」施設のみ回答</t>
        </is>
      </c>
    </row>
    <row r="196" ht="20" customHeight="1">
      <c r="A196" s="39" t="inlineStr">
        <is>
          <t>Q15-2 評価実施時期（単一選択）</t>
        </is>
      </c>
      <c r="C196" s="39" t="inlineStr">
        <is>
          <t>関数カウント</t>
        </is>
      </c>
      <c r="D196" s="39" t="inlineStr">
        <is>
          <t>割合</t>
        </is>
      </c>
      <c r="E196" s="39" t="inlineStr">
        <is>
          <t>PPTX値</t>
        </is>
      </c>
      <c r="F196" s="39" t="inlineStr">
        <is>
          <t>差分</t>
        </is>
      </c>
    </row>
    <row r="197" ht="22" customHeight="1">
      <c r="A197" s="40" t="inlineStr">
        <is>
          <t>No.</t>
        </is>
      </c>
      <c r="B197" s="40" t="inlineStr">
        <is>
          <t>回答選択肢</t>
        </is>
      </c>
      <c r="C197" s="40" t="inlineStr">
        <is>
          <t>関数カウント</t>
        </is>
      </c>
      <c r="D197" s="40" t="inlineStr">
        <is>
          <t>割合(%)</t>
        </is>
      </c>
      <c r="E197" s="40" t="inlineStr">
        <is>
          <t>PPTX値</t>
        </is>
      </c>
      <c r="F197" s="40" t="inlineStr">
        <is>
          <t>差分(関数-PPTX)</t>
        </is>
      </c>
    </row>
    <row r="198" ht="18" customHeight="1">
      <c r="A198" s="41" t="n">
        <v>1</v>
      </c>
      <c r="B198" s="42" t="inlineStr">
        <is>
          <t>決まっている</t>
        </is>
      </c>
      <c r="C198" s="41">
        <f>COUNTIF('サマリ作成用'!AF:AF,"決まっている")</f>
        <v/>
      </c>
      <c r="D198" s="43">
        <f>IF(C198="","",ROUND(C198/(COUNTIF('サマリ作成用'!AF:AF,"*"))*100,1))</f>
        <v/>
      </c>
      <c r="E198" s="41" t="n">
        <v>109</v>
      </c>
      <c r="F198" s="41">
        <f>IF(OR(C198="",E198=""),"",C198-E198)</f>
        <v/>
      </c>
    </row>
    <row r="199" ht="18" customHeight="1">
      <c r="A199" s="44" t="n">
        <v>2</v>
      </c>
      <c r="B199" s="45" t="inlineStr">
        <is>
          <t>決まっていない</t>
        </is>
      </c>
      <c r="C199" s="44">
        <f>COUNTIF('サマリ作成用'!AF:AF,"決まっていない")</f>
        <v/>
      </c>
      <c r="D199" s="46">
        <f>IF(C199="","",ROUND(C199/(COUNTIF('サマリ作成用'!AF:AF,"*"))*100,1))</f>
        <v/>
      </c>
      <c r="E199" s="44" t="n">
        <v>113</v>
      </c>
      <c r="F199" s="44">
        <f>IF(OR(C199="",E199=""),"",C199-E199)</f>
        <v/>
      </c>
    </row>
    <row r="200" ht="18" customHeight="1">
      <c r="A200" s="41" t="n">
        <v>3</v>
      </c>
      <c r="B200" s="42" t="inlineStr">
        <is>
          <t>わからない</t>
        </is>
      </c>
      <c r="C200" s="41">
        <f>COUNTIF('サマリ作成用'!AF:AF,"わからない")</f>
        <v/>
      </c>
      <c r="D200" s="43">
        <f>IF(C200="","",ROUND(C200/(COUNTIF('サマリ作成用'!AF:AF,"*"))*100,1))</f>
        <v/>
      </c>
      <c r="E200" s="41" t="n">
        <v>7</v>
      </c>
      <c r="F200" s="41">
        <f>IF(OR(C200="",E200=""),"",C200-E200)</f>
        <v/>
      </c>
    </row>
    <row r="201" ht="20" customHeight="1">
      <c r="A201" s="47" t="inlineStr">
        <is>
          <t>合計</t>
        </is>
      </c>
      <c r="C201" s="47">
        <f>SUM(C198:C200)</f>
        <v/>
      </c>
      <c r="D201" s="48">
        <f>ROUND(C201/(COUNTIF('サマリ作成用'!AF:AF,"*"))*100,1)</f>
        <v/>
      </c>
      <c r="E201" s="47" t="inlineStr"/>
      <c r="F201" s="47" t="inlineStr"/>
    </row>
    <row r="202" ht="8" customHeight="1"/>
    <row r="203" ht="24" customHeight="1">
      <c r="A203" s="38" t="inlineStr">
        <is>
          <t>■ Q16. 理学療法士または作業療法士が実施している転倒予防策【複数選択可】  ※列AI</t>
        </is>
      </c>
    </row>
    <row r="204" ht="20" customHeight="1">
      <c r="A204" s="39" t="inlineStr">
        <is>
          <t>Q16 転倒予防策（複数選択）</t>
        </is>
      </c>
      <c r="C204" s="39" t="inlineStr">
        <is>
          <t>関数カウント</t>
        </is>
      </c>
      <c r="D204" s="39" t="inlineStr">
        <is>
          <t>割合</t>
        </is>
      </c>
      <c r="E204" s="39" t="inlineStr">
        <is>
          <t>PPTX値</t>
        </is>
      </c>
      <c r="F204" s="39" t="inlineStr">
        <is>
          <t>差分</t>
        </is>
      </c>
    </row>
    <row r="205" ht="22" customHeight="1">
      <c r="A205" s="40" t="inlineStr">
        <is>
          <t>No.</t>
        </is>
      </c>
      <c r="B205" s="40" t="inlineStr">
        <is>
          <t>回答選択肢</t>
        </is>
      </c>
      <c r="C205" s="40" t="inlineStr">
        <is>
          <t>関数カウント</t>
        </is>
      </c>
      <c r="D205" s="40" t="inlineStr">
        <is>
          <t>割合(%)</t>
        </is>
      </c>
      <c r="E205" s="40" t="inlineStr">
        <is>
          <t>PPTX値</t>
        </is>
      </c>
      <c r="F205" s="40" t="inlineStr">
        <is>
          <t>差分(関数-PPTX)</t>
        </is>
      </c>
    </row>
    <row r="206" ht="18" customHeight="1">
      <c r="A206" s="41" t="n">
        <v>1</v>
      </c>
      <c r="B206" s="42" t="inlineStr">
        <is>
          <t>下肢筋力強化</t>
        </is>
      </c>
      <c r="C206" s="41">
        <f>COUNTIF('サマリ作成用'!AI:AI,"*下肢筋力強化*")</f>
        <v/>
      </c>
      <c r="D206" s="43">
        <f>IF(C206="","",ROUND(C206/(COUNTA('サマリ作成用'!A:A)-1)*100,1))</f>
        <v/>
      </c>
      <c r="E206" s="41" t="n">
        <v>284</v>
      </c>
      <c r="F206" s="41">
        <f>IF(OR(C206="",E206=""),"",C206-E206)</f>
        <v/>
      </c>
    </row>
    <row r="207" ht="18" customHeight="1">
      <c r="A207" s="44" t="n">
        <v>2</v>
      </c>
      <c r="B207" s="45" t="inlineStr">
        <is>
          <t>歩行練習</t>
        </is>
      </c>
      <c r="C207" s="44">
        <f>COUNTIF('サマリ作成用'!AI:AI,"*歩行練習*")</f>
        <v/>
      </c>
      <c r="D207" s="46">
        <f>IF(C207="","",ROUND(C207/(COUNTA('サマリ作成用'!A:A)-1)*100,1))</f>
        <v/>
      </c>
      <c r="E207" s="44" t="n">
        <v>279</v>
      </c>
      <c r="F207" s="44">
        <f>IF(OR(C207="",E207=""),"",C207-E207)</f>
        <v/>
      </c>
    </row>
    <row r="208" ht="18" customHeight="1">
      <c r="A208" s="41" t="n">
        <v>3</v>
      </c>
      <c r="B208" s="42" t="inlineStr">
        <is>
          <t>バランス練習</t>
        </is>
      </c>
      <c r="C208" s="41">
        <f>COUNTIF('サマリ作成用'!AI:AI,"*バランス練習*")</f>
        <v/>
      </c>
      <c r="D208" s="43">
        <f>IF(C208="","",ROUND(C208/(COUNTA('サマリ作成用'!A:A)-1)*100,1))</f>
        <v/>
      </c>
      <c r="E208" s="41" t="n">
        <v>276</v>
      </c>
      <c r="F208" s="41">
        <f>IF(OR(C208="",E208=""),"",C208-E208)</f>
        <v/>
      </c>
    </row>
    <row r="209" ht="18" customHeight="1">
      <c r="A209" s="44" t="n">
        <v>4</v>
      </c>
      <c r="B209" s="45" t="inlineStr">
        <is>
          <t>起立、着座動作練習</t>
        </is>
      </c>
      <c r="C209" s="44">
        <f>COUNTIF('サマリ作成用'!AI:AI,"*起立、着座動作練習*")</f>
        <v/>
      </c>
      <c r="D209" s="46">
        <f>IF(C209="","",ROUND(C209/(COUNTA('サマリ作成用'!A:A)-1)*100,1))</f>
        <v/>
      </c>
      <c r="E209" s="44" t="n">
        <v>259</v>
      </c>
      <c r="F209" s="44">
        <f>IF(OR(C209="",E209=""),"",C209-E209)</f>
        <v/>
      </c>
    </row>
    <row r="210" ht="18" customHeight="1">
      <c r="A210" s="41" t="n">
        <v>5</v>
      </c>
      <c r="B210" s="42" t="inlineStr">
        <is>
          <t>環境調整</t>
        </is>
      </c>
      <c r="C210" s="41">
        <f>COUNTIF('サマリ作成用'!AI:AI,"*環境調整*")</f>
        <v/>
      </c>
      <c r="D210" s="43">
        <f>IF(C210="","",ROUND(C210/(COUNTA('サマリ作成用'!A:A)-1)*100,1))</f>
        <v/>
      </c>
      <c r="E210" s="41" t="n">
        <v>250</v>
      </c>
      <c r="F210" s="41">
        <f>IF(OR(C210="",E210=""),"",C210-E210)</f>
        <v/>
      </c>
    </row>
    <row r="211" ht="18" customHeight="1">
      <c r="A211" s="44" t="n">
        <v>6</v>
      </c>
      <c r="B211" s="45" t="inlineStr">
        <is>
          <t>補助具、装具の適正化</t>
        </is>
      </c>
      <c r="C211" s="44">
        <f>COUNTIF('サマリ作成用'!AI:AI,"*補助具、装具の適正化*")</f>
        <v/>
      </c>
      <c r="D211" s="46">
        <f>IF(C211="","",ROUND(C211/(COUNTA('サマリ作成用'!A:A)-1)*100,1))</f>
        <v/>
      </c>
      <c r="E211" s="44" t="n">
        <v>223</v>
      </c>
      <c r="F211" s="44">
        <f>IF(OR(C211="",E211=""),"",C211-E211)</f>
        <v/>
      </c>
    </row>
    <row r="212" ht="18" customHeight="1">
      <c r="A212" s="41" t="n">
        <v>7</v>
      </c>
      <c r="B212" s="42" t="inlineStr">
        <is>
          <t>歩容改善</t>
        </is>
      </c>
      <c r="C212" s="41">
        <f>COUNTIF('サマリ作成用'!AI:AI,"*歩容改善*")</f>
        <v/>
      </c>
      <c r="D212" s="43">
        <f>IF(C212="","",ROUND(C212/(COUNTA('サマリ作成用'!A:A)-1)*100,1))</f>
        <v/>
      </c>
      <c r="E212" s="41" t="n">
        <v>220</v>
      </c>
      <c r="F212" s="41">
        <f>IF(OR(C212="",E212=""),"",C212-E212)</f>
        <v/>
      </c>
    </row>
    <row r="213" ht="18" customHeight="1">
      <c r="A213" s="44" t="n">
        <v>8</v>
      </c>
      <c r="B213" s="45" t="inlineStr">
        <is>
          <t>教育、指導</t>
        </is>
      </c>
      <c r="C213" s="44">
        <f>COUNTIF('サマリ作成用'!AI:AI,"*教育、指導*")</f>
        <v/>
      </c>
      <c r="D213" s="46">
        <f>IF(C213="","",ROUND(C213/(COUNTA('サマリ作成用'!A:A)-1)*100,1))</f>
        <v/>
      </c>
      <c r="E213" s="44" t="n">
        <v>218</v>
      </c>
      <c r="F213" s="44">
        <f>IF(OR(C213="",E213=""),"",C213-E213)</f>
        <v/>
      </c>
    </row>
    <row r="214" ht="18" customHeight="1">
      <c r="A214" s="41" t="n">
        <v>9</v>
      </c>
      <c r="B214" s="42" t="inlineStr">
        <is>
          <t>認知面への介入</t>
        </is>
      </c>
      <c r="C214" s="41">
        <f>COUNTIF('サマリ作成用'!AI:AI,"*認知面への介入*")</f>
        <v/>
      </c>
      <c r="D214" s="43">
        <f>IF(C214="","",ROUND(C214/(COUNTA('サマリ作成用'!A:A)-1)*100,1))</f>
        <v/>
      </c>
      <c r="E214" s="41" t="n">
        <v>176</v>
      </c>
      <c r="F214" s="41">
        <f>IF(OR(C214="",E214=""),"",C214-E214)</f>
        <v/>
      </c>
    </row>
    <row r="215" ht="18" customHeight="1">
      <c r="A215" s="44" t="n">
        <v>10</v>
      </c>
      <c r="B215" s="45" t="inlineStr">
        <is>
          <t>行動面への介入</t>
        </is>
      </c>
      <c r="C215" s="44">
        <f>COUNTIF('サマリ作成用'!AI:AI,"*行動面への介入*")</f>
        <v/>
      </c>
      <c r="D215" s="46">
        <f>IF(C215="","",ROUND(C215/(COUNTA('サマリ作成用'!A:A)-1)*100,1))</f>
        <v/>
      </c>
      <c r="E215" s="44" t="n">
        <v>125</v>
      </c>
      <c r="F215" s="44">
        <f>IF(OR(C215="",E215=""),"",C215-E215)</f>
        <v/>
      </c>
    </row>
    <row r="216" ht="18" customHeight="1">
      <c r="A216" s="41" t="n">
        <v>11</v>
      </c>
      <c r="B216" s="42" t="inlineStr">
        <is>
          <t>薬剤調整</t>
        </is>
      </c>
      <c r="C216" s="41">
        <f>COUNTIF('サマリ作成用'!AI:AI,"*薬剤調整*")</f>
        <v/>
      </c>
      <c r="D216" s="43">
        <f>IF(C216="","",ROUND(C216/(COUNTA('サマリ作成用'!A:A)-1)*100,1))</f>
        <v/>
      </c>
      <c r="E216" s="41" t="n">
        <v>40</v>
      </c>
      <c r="F216" s="41">
        <f>IF(OR(C216="",E216=""),"",C216-E216)</f>
        <v/>
      </c>
    </row>
    <row r="217" ht="18" customHeight="1">
      <c r="A217" s="44" t="n">
        <v>12</v>
      </c>
      <c r="B217" s="45" t="inlineStr">
        <is>
          <t>実施していない</t>
        </is>
      </c>
      <c r="C217" s="44">
        <f>COUNTIF('サマリ作成用'!AI:AI,"*実施していない*")</f>
        <v/>
      </c>
      <c r="D217" s="46">
        <f>IF(C217="","",ROUND(C217/(COUNTA('サマリ作成用'!A:A)-1)*100,1))</f>
        <v/>
      </c>
      <c r="E217" s="44" t="n">
        <v>2</v>
      </c>
      <c r="F217" s="44">
        <f>IF(OR(C217="",E217=""),"",C217-E217)</f>
        <v/>
      </c>
    </row>
    <row r="218" ht="20" customHeight="1">
      <c r="A218" s="47" t="inlineStr">
        <is>
          <t>合計（複数選択のため有効回答数を超える）</t>
        </is>
      </c>
      <c r="C218" s="47">
        <f>SUM(C206:C217)</f>
        <v/>
      </c>
      <c r="D218" s="47" t="inlineStr"/>
      <c r="E218" s="47" t="inlineStr"/>
      <c r="F218" s="47" t="inlineStr"/>
    </row>
  </sheetData>
  <mergeCells count="54">
    <mergeCell ref="A143:B143"/>
    <mergeCell ref="A201:B201"/>
    <mergeCell ref="A51:B51"/>
    <mergeCell ref="A45:B45"/>
    <mergeCell ref="A103:B103"/>
    <mergeCell ref="A105:F105"/>
    <mergeCell ref="A88:B88"/>
    <mergeCell ref="A94:B94"/>
    <mergeCell ref="A70:B70"/>
    <mergeCell ref="A79:B79"/>
    <mergeCell ref="A124:B124"/>
    <mergeCell ref="A168:B168"/>
    <mergeCell ref="A195:F195"/>
    <mergeCell ref="A2:F2"/>
    <mergeCell ref="A218:B218"/>
    <mergeCell ref="A16:B16"/>
    <mergeCell ref="A54:B54"/>
    <mergeCell ref="A160:F160"/>
    <mergeCell ref="A7:B7"/>
    <mergeCell ref="A151:F151"/>
    <mergeCell ref="A196:B196"/>
    <mergeCell ref="A203:F203"/>
    <mergeCell ref="A126:F126"/>
    <mergeCell ref="A193:B193"/>
    <mergeCell ref="A4:F4"/>
    <mergeCell ref="A149:B149"/>
    <mergeCell ref="A96:F96"/>
    <mergeCell ref="A53:F53"/>
    <mergeCell ref="A158:B158"/>
    <mergeCell ref="A170:F170"/>
    <mergeCell ref="A44:F44"/>
    <mergeCell ref="A76:B76"/>
    <mergeCell ref="A204:B204"/>
    <mergeCell ref="A85:B85"/>
    <mergeCell ref="A42:B42"/>
    <mergeCell ref="A31:F31"/>
    <mergeCell ref="A32:B32"/>
    <mergeCell ref="A106:B106"/>
    <mergeCell ref="A15:F15"/>
    <mergeCell ref="A97:B97"/>
    <mergeCell ref="A140:B140"/>
    <mergeCell ref="A142:F142"/>
    <mergeCell ref="A171:B171"/>
    <mergeCell ref="A29:B29"/>
    <mergeCell ref="A152:B152"/>
    <mergeCell ref="A1:F1"/>
    <mergeCell ref="A161:B161"/>
    <mergeCell ref="A6:F6"/>
    <mergeCell ref="A13:B13"/>
    <mergeCell ref="A127:B127"/>
    <mergeCell ref="A78:F78"/>
    <mergeCell ref="A67:B67"/>
    <mergeCell ref="A69:F69"/>
    <mergeCell ref="A87:F87"/>
  </mergeCells>
  <conditionalFormatting sqref="F1:F219">
    <cfRule type="cellIs" priority="1" operator="notEqual" dxfId="16">
      <formula>0</formula>
    </cfRule>
    <cfRule type="cellIs" priority="2" operator="equal" dxfId="17">
      <formula>0</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2026-04-03T16:47:05Z</dcterms:created>
  <dcterms:modified xmlns:dcterms="http://purl.org/dc/terms/" xmlns:xsi="http://www.w3.org/2001/XMLSchema-instance" xsi:type="dcterms:W3CDTF">2026-04-03T16:47:05Z</dcterms:modified>
  <cp:lastModifiedBy>心音 河口</cp:lastModifiedBy>
</cp:coreProperties>
</file>